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Goals" sheetId="2" state="visible" r:id="rId4"/>
    <sheet name="Implementation" sheetId="3" state="visible" r:id="rId5"/>
    <sheet name="DAY CHECKER" sheetId="4" state="visible" r:id="rId6"/>
    <sheet name="Concepts" sheetId="5" state="visible" r:id="rId7"/>
    <sheet name="Final Checklist"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<sst xmlns="http://schemas.openxmlformats.org/spreadsheetml/2006/main" count="935" uniqueCount="520">
  <si>
    <t xml:space="preserve">OrderFlow (.NET) Project Tracker: Summary</t>
  </si>
  <si>
    <t xml:space="preserve">Everything here is calculated from the Done columns on the other sheets. Nothing to edit on this sheet.</t>
  </si>
  <si>
    <t xml:space="preserve">Section</t>
  </si>
  <si>
    <t xml:space="preserve">Done</t>
  </si>
  <si>
    <t xml:space="preserve">Total</t>
  </si>
  <si>
    <t xml:space="preserve">% done</t>
  </si>
  <si>
    <t xml:space="preserve">Goals achieved</t>
  </si>
  <si>
    <t xml:space="preserve">Implementation items</t>
  </si>
  <si>
    <t xml:space="preserve">Concepts I can explain</t>
  </si>
  <si>
    <t xml:space="preserve">Final checklist</t>
  </si>
  <si>
    <t xml:space="preserve">Implementation progress by week</t>
  </si>
  <si>
    <t xml:space="preserve">Week</t>
  </si>
  <si>
    <t xml:space="preserve">Week 1</t>
  </si>
  <si>
    <t xml:space="preserve">Week 2</t>
  </si>
  <si>
    <t xml:space="preserve">Week 3</t>
  </si>
  <si>
    <t xml:space="preserve">Week 4</t>
  </si>
  <si>
    <t xml:space="preserve">Week 5</t>
  </si>
  <si>
    <t xml:space="preserve">Week 6</t>
  </si>
  <si>
    <t xml:space="preserve">All weeks</t>
  </si>
  <si>
    <t xml:space="preserve">Check: week totals match the Implementation total</t>
  </si>
  <si>
    <t xml:space="preserve">Week 6 is an optional buffer (Kafka, Kubernetes, LLM feature). Do it only after weeks 1-5 are finished.</t>
  </si>
  <si>
    <t xml:space="preserve">What OrderFlow (.NET) will achieve</t>
  </si>
  <si>
    <t xml:space="preserve">Legend: yellow = edit. Set Done to Yes (dropdown) when you can demonstrate the 'How you'll prove it' column. Example Notes: 'Verified with 3 test orders on 12 Nov'.</t>
  </si>
  <si>
    <t xml:space="preserve">#</t>
  </si>
  <si>
    <t xml:space="preserve">Goal (what the project achieves)</t>
  </si>
  <si>
    <t xml:space="preserve">How you'll prove it</t>
  </si>
  <si>
    <t xml:space="preserve">Done?</t>
  </si>
  <si>
    <t xml:space="preserve">Notes</t>
  </si>
  <si>
    <t xml:space="preserve">Customers can browse stock and place an order through a secured REST API behind one gateway</t>
  </si>
  <si>
    <t xml:space="preserve">Get a JWT, call POST /orders through the YARP gateway, and see the order in the Order database</t>
  </si>
  <si>
    <t xml:space="preserve">No</t>
  </si>
  <si>
    <t xml:space="preserve">An order flows Order &gt; Inventory &gt; Payment &gt; Notification asynchronously through RabbitMQ</t>
  </si>
  <si>
    <t xml:space="preserve">Place one order and watch the messages move through all four services in the logs</t>
  </si>
  <si>
    <t xml:space="preserve">No lost or duplicated orders, even when a service crashes mid-order</t>
  </si>
  <si>
    <t xml:space="preserve">Kill a service mid-flow and restart it: order still completes once, customer charged once</t>
  </si>
  <si>
    <t xml:space="preserve">Failures compensate cleanly (payment failed, stock released)</t>
  </si>
  <si>
    <t xml:space="preserve">Force a payment failure: order ends CANCELLED and the reserved stock is released</t>
  </si>
  <si>
    <t xml:space="preserve">Stock never oversells under concurrency</t>
  </si>
  <si>
    <t xml:space="preserve">Two simultaneous orders for the last unit: exactly one succeeds, one is rejected</t>
  </si>
  <si>
    <t xml:space="preserve">Hot reads are fast and the system survives a slow or dead dependency</t>
  </si>
  <si>
    <t xml:space="preserve">Cache hit visible in Redis; Polly circuit breaker opens when Inventory is down</t>
  </si>
  <si>
    <t xml:space="preserve">One order can be traced across every service</t>
  </si>
  <si>
    <t xml:space="preserve">One trace ID in Jaeger and in all service logs for a single order</t>
  </si>
  <si>
    <t xml:space="preserve">Whole system runs with one command locally and is deployed to Azure</t>
  </si>
  <si>
    <t xml:space="preserve">docker compose up works from a clean clone; the live URL on Azure Container Apps answers</t>
  </si>
  <si>
    <t xml:space="preserve">Every push is built and tested automatically, on real infrastructure</t>
  </si>
  <si>
    <t xml:space="preserve">Green GitHub Actions run using Testcontainers (Postgres, RabbitMQ)</t>
  </si>
  <si>
    <t xml:space="preserve">You have real performance numbers</t>
  </si>
  <si>
    <t xml:space="preserve">k6 results recorded: orders/sec, p95 latency and error rate, with and without cache</t>
  </si>
  <si>
    <t xml:space="preserve">The project is interview-ready</t>
  </si>
  <si>
    <t xml:space="preserve">README, diagrams, trade-offs section and failure drills exist and you can explain each decision</t>
  </si>
  <si>
    <t xml:space="preserve">What to implement, week by week (.NET 8)</t>
  </si>
  <si>
    <t xml:space="preserve">Legend: yellow = edit. Set Done to Yes (dropdown) only when the 'Done when' column is true. Example Notes: 'Used Testcontainers 3.x; flaky on first run'.</t>
  </si>
  <si>
    <t xml:space="preserve">Area</t>
  </si>
  <si>
    <t xml:space="preserve">What to implement</t>
  </si>
  <si>
    <t xml:space="preserve">Done when</t>
  </si>
  <si>
    <t xml:space="preserve">Setup</t>
  </si>
  <si>
    <t xml:space="preserve">Install .NET 8 SDK, Visual Studio or Rider, Docker Desktop, Git</t>
  </si>
  <si>
    <t xml:space="preserve">dotnet --version, docker ps and git --version all work</t>
  </si>
  <si>
    <t xml:space="preserve">Create the solution: src/ folder per service, shared Contracts project, docker-compose.yml, docs/</t>
  </si>
  <si>
    <t xml:space="preserve">dotnet build on the solution succeeds</t>
  </si>
  <si>
    <t xml:space="preserve">Platform</t>
  </si>
  <si>
    <t xml:space="preserve">PostgreSQL containers in Docker Compose, one database per service</t>
  </si>
  <si>
    <t xml:space="preserve">Two databases running with separate credentials; no shared tables</t>
  </si>
  <si>
    <t xml:space="preserve">Contracts</t>
  </si>
  <si>
    <t xml:space="preserve">Shared Contracts project with message records (SubmitOrder, StockReserved, PaymentFailed and so on)</t>
  </si>
  <si>
    <t xml:space="preserve">Contracts project referenced by every service and builds</t>
  </si>
  <si>
    <t xml:space="preserve">Inventory Service</t>
  </si>
  <si>
    <t xml:space="preserve">Create Inventory Service with Clean Architecture layers (Api, Application, Domain, Infrastructure)</t>
  </si>
  <si>
    <t xml:space="preserve">Project references only point inward; service starts</t>
  </si>
  <si>
    <t xml:space="preserve">StockItem entity, EF Core DbContext and first migration</t>
  </si>
  <si>
    <t xml:space="preserve">Table created by migration; rows saved and read</t>
  </si>
  <si>
    <t xml:space="preserve">CRUD endpoints with request/response DTOs and FluentValidation</t>
  </si>
  <si>
    <t xml:space="preserve">GET, POST, PUT, DELETE work; invalid input returns 400 with field errors</t>
  </si>
  <si>
    <t xml:space="preserve">Order Service</t>
  </si>
  <si>
    <t xml:space="preserve">Create Order Service with the same layers; Order and OrderItem entities plus status enum (Pending, Confirmed, Cancelled)</t>
  </si>
  <si>
    <t xml:space="preserve">Status stored and returned correctly</t>
  </si>
  <si>
    <t xml:space="preserve">EF Core migration against its own database</t>
  </si>
  <si>
    <t xml:space="preserve">Separate DB; no shared tables with Inventory</t>
  </si>
  <si>
    <t xml:space="preserve">Create, get and list order endpoints with DTOs and validation</t>
  </si>
  <si>
    <t xml:space="preserve">Order created via API and visible in the database</t>
  </si>
  <si>
    <t xml:space="preserve">Pagination on the order list (page and size; note keyset as the alternative)</t>
  </si>
  <si>
    <t xml:space="preserve">Page 2 returns the next set; total count included</t>
  </si>
  <si>
    <t xml:space="preserve">Global exception handling returning ProblemDetails</t>
  </si>
  <si>
    <t xml:space="preserve">404, 400, 409 and 500 all return the same JSON shape</t>
  </si>
  <si>
    <t xml:space="preserve">Serilog structured logging with request logging</t>
  </si>
  <si>
    <t xml:space="preserve">Logs are JSON and include request path and status</t>
  </si>
  <si>
    <t xml:space="preserve">Health checks and Swagger for both services</t>
  </si>
  <si>
    <t xml:space="preserve">/health returns Healthy; Swagger lists all endpoints</t>
  </si>
  <si>
    <t xml:space="preserve">Multi-stage Dockerfile per service; both run in Compose</t>
  </si>
  <si>
    <t xml:space="preserve">docker compose up starts both services and their databases with one command</t>
  </si>
  <si>
    <t xml:space="preserve">Messaging</t>
  </si>
  <si>
    <t xml:space="preserve">RabbitMQ in Compose; add MassTransit packages to services</t>
  </si>
  <si>
    <t xml:space="preserve">RabbitMQ management UI opens; a test message is published and consumed</t>
  </si>
  <si>
    <t xml:space="preserve">Payment Service</t>
  </si>
  <si>
    <t xml:space="preserve">Create Payment Service (simulated charge, configurable failure trigger) with its own database</t>
  </si>
  <si>
    <t xml:space="preserve">Service starts; a charge succeeds or fails on demand</t>
  </si>
  <si>
    <t xml:space="preserve">Notification Service</t>
  </si>
  <si>
    <t xml:space="preserve">Create Notification Service (log or email stub, stores sent notifications in its own database)</t>
  </si>
  <si>
    <t xml:space="preserve">Service starts and exposes health</t>
  </si>
  <si>
    <t xml:space="preserve">Consumers for ReserveStock and ReleaseStock</t>
  </si>
  <si>
    <t xml:space="preserve">Stock decremented on reserve and restored on release</t>
  </si>
  <si>
    <t xml:space="preserve">Reliability</t>
  </si>
  <si>
    <t xml:space="preserve">Reproduce failures first: crash between DB commit and publish; duplicate delivery</t>
  </si>
  <si>
    <t xml:space="preserve">You have a failing test or demo for both problems before fixing</t>
  </si>
  <si>
    <t xml:space="preserve">EF Core transactional outbox in Order Service</t>
  </si>
  <si>
    <t xml:space="preserve">Order row and outbox row saved in one transaction; message delivered after</t>
  </si>
  <si>
    <t xml:space="preserve">Outbox for Inventory and Payment messages</t>
  </si>
  <si>
    <t xml:space="preserve">No direct publish inside business transactions</t>
  </si>
  <si>
    <t xml:space="preserve">Saga</t>
  </si>
  <si>
    <t xml:space="preserve">MassTransit saga state machine for the order, persisted with EF Core</t>
  </si>
  <si>
    <t xml:space="preserve">Saga instance row visible in the database with the current state</t>
  </si>
  <si>
    <t xml:space="preserve">Happy path: place order &gt; reserve stock &gt; charge payment &gt; confirm</t>
  </si>
  <si>
    <t xml:space="preserve">Order reaches CONFIRMED end to end</t>
  </si>
  <si>
    <t xml:space="preserve">Compensation: payment failure releases the reserved stock and cancels the order</t>
  </si>
  <si>
    <t xml:space="preserve">Forced payment failure ends with CANCELLED order and stock restored</t>
  </si>
  <si>
    <t xml:space="preserve">Reject invalid transitions and ignore duplicate or late events</t>
  </si>
  <si>
    <t xml:space="preserve">e.g. a CANCELLED order cannot become CONFIRMED</t>
  </si>
  <si>
    <t xml:space="preserve">Consume OrderConfirmed and OrderCancelled</t>
  </si>
  <si>
    <t xml:space="preserve">One notification stored per order outcome</t>
  </si>
  <si>
    <t xml:space="preserve">Idempotent consumers (inbox or message-id check)</t>
  </si>
  <si>
    <t xml:space="preserve">Replaying the same message twice has no extra effect</t>
  </si>
  <si>
    <t xml:space="preserve">Retries with exponential backoff</t>
  </si>
  <si>
    <t xml:space="preserve">Transient failure recovers; retries visible in logs</t>
  </si>
  <si>
    <t xml:space="preserve">Dead-letter (error) queue for poison messages</t>
  </si>
  <si>
    <t xml:space="preserve">A bad message lands in the error queue and does not block others</t>
  </si>
  <si>
    <t xml:space="preserve">Failure test: kill a service mid-order and restart it</t>
  </si>
  <si>
    <t xml:space="preserve">Order still completes exactly once after restart</t>
  </si>
  <si>
    <t xml:space="preserve">Docs</t>
  </si>
  <si>
    <t xml:space="preserve">Decision notes in docs/: why outbox, why saga over 2PC</t>
  </si>
  <si>
    <t xml:space="preserve">Both written and explainable in 2 minutes</t>
  </si>
  <si>
    <t xml:space="preserve">Gateway</t>
  </si>
  <si>
    <t xml:space="preserve">YARP gateway with routes to Order and Inventory</t>
  </si>
  <si>
    <t xml:space="preserve">Clients reach services only through the gateway</t>
  </si>
  <si>
    <t xml:space="preserve">Rate limiting at the gateway</t>
  </si>
  <si>
    <t xml:space="preserve">Burst of requests gets 429 after the limit</t>
  </si>
  <si>
    <t xml:space="preserve">Security</t>
  </si>
  <si>
    <t xml:space="preserve">JWT authentication at the gateway (local token issuer for dev; Entra ID as a stretch)</t>
  </si>
  <si>
    <t xml:space="preserve">Protected route returns 401 without a token and 200 with one</t>
  </si>
  <si>
    <t xml:space="preserve">Role or scope policies on endpoints (Customer places orders, Admin manages stock)</t>
  </si>
  <si>
    <t xml:space="preserve">Only Admin can create or update stock; 403 for Customer</t>
  </si>
  <si>
    <t xml:space="preserve">Caching</t>
  </si>
  <si>
    <t xml:space="preserve">Redis in Compose; cache-aside for inventory reads</t>
  </si>
  <si>
    <t xml:space="preserve">Second read of a stock item is served from cache</t>
  </si>
  <si>
    <t xml:space="preserve">TTL plus invalidation on stock update</t>
  </si>
  <si>
    <t xml:space="preserve">Update stock then read: no stale data beyond the rule you chose</t>
  </si>
  <si>
    <t xml:space="preserve">Concurrency</t>
  </si>
  <si>
    <t xml:space="preserve">Optimistic concurrency on stock (Postgres xmin or a version column)</t>
  </si>
  <si>
    <t xml:space="preserve">Concurrent update raises a concurrency exception that you handle</t>
  </si>
  <si>
    <t xml:space="preserve">Demo: two simultaneous orders for the last unit</t>
  </si>
  <si>
    <t xml:space="preserve">Exactly one succeeds and stock never goes below zero</t>
  </si>
  <si>
    <t xml:space="preserve">Data</t>
  </si>
  <si>
    <t xml:space="preserve">Hottest inventory query in Dapper or raw SQL, with an index and EXPLAIN ANALYZE before and after</t>
  </si>
  <si>
    <t xml:space="preserve">Execution-plan comparison saved in docs/ (your Yamaha story)</t>
  </si>
  <si>
    <t xml:space="preserve">API</t>
  </si>
  <si>
    <t xml:space="preserve">API versioning (v1 route)</t>
  </si>
  <si>
    <t xml:space="preserve">/v1/orders works; a v2 route can be added without breaking v1</t>
  </si>
  <si>
    <t xml:space="preserve">Resilience</t>
  </si>
  <si>
    <t xml:space="preserve">Order Service reads price and availability from Inventory via HttpClientFactory with Polly timeout, retry and circuit breaker</t>
  </si>
  <si>
    <t xml:space="preserve">Breaker opens when Inventory is down; clean error returned</t>
  </si>
  <si>
    <t xml:space="preserve">Decision notes: caching strategy and concurrency approach</t>
  </si>
  <si>
    <t xml:space="preserve">Written in docs/</t>
  </si>
  <si>
    <t xml:space="preserve">Testing</t>
  </si>
  <si>
    <t xml:space="preserve">xUnit unit tests for domain logic and saga rules</t>
  </si>
  <si>
    <t xml:space="preserve">Core order and stock logic covered</t>
  </si>
  <si>
    <t xml:space="preserve">Saga tests with the MassTransit test harness (happy path and compensation)</t>
  </si>
  <si>
    <t xml:space="preserve">Both paths pass without real infrastructure</t>
  </si>
  <si>
    <t xml:space="preserve">Integration tests with Testcontainers (PostgreSQL)</t>
  </si>
  <si>
    <t xml:space="preserve">Tests run against a real Postgres container</t>
  </si>
  <si>
    <t xml:space="preserve">Automated concurrency test for the last unit</t>
  </si>
  <si>
    <t xml:space="preserve">Test fails if overselling is possible and passes with your fix</t>
  </si>
  <si>
    <t xml:space="preserve">End-to-end test with Testcontainers (RabbitMQ)</t>
  </si>
  <si>
    <t xml:space="preserve">Happy path test passes with one command</t>
  </si>
  <si>
    <t xml:space="preserve">Observability</t>
  </si>
  <si>
    <t xml:space="preserve">Correlation IDs through logs and messages</t>
  </si>
  <si>
    <t xml:space="preserve">Same ID appears in every service's logs for one order</t>
  </si>
  <si>
    <t xml:space="preserve">OpenTelemetry tracing across HTTP and MassTransit</t>
  </si>
  <si>
    <t xml:space="preserve">Jaeger shows one trace spanning all services</t>
  </si>
  <si>
    <t xml:space="preserve">Screenshot of a trace crossing all services</t>
  </si>
  <si>
    <t xml:space="preserve">Image saved in docs/</t>
  </si>
  <si>
    <t xml:space="preserve">Prometheus scraping service metrics</t>
  </si>
  <si>
    <t xml:space="preserve">Targets show UP</t>
  </si>
  <si>
    <t xml:space="preserve">One Grafana dashboard (request rate, latency, errors)</t>
  </si>
  <si>
    <t xml:space="preserve">Dashboard exported to the repo</t>
  </si>
  <si>
    <t xml:space="preserve">Performance</t>
  </si>
  <si>
    <t xml:space="preserve">k6 load test script for order creation and stock reads</t>
  </si>
  <si>
    <t xml:space="preserve">Script in repo and runs</t>
  </si>
  <si>
    <t xml:space="preserve">Record orders/sec, p95 latency and error rate, with and without cache</t>
  </si>
  <si>
    <t xml:space="preserve">Numbers saved for the README</t>
  </si>
  <si>
    <t xml:space="preserve">CI/CD</t>
  </si>
  <si>
    <t xml:space="preserve">GitHub Actions: build and test on every push</t>
  </si>
  <si>
    <t xml:space="preserve">Green check on a pushed commit</t>
  </si>
  <si>
    <t xml:space="preserve">Build and push Docker images to a registry</t>
  </si>
  <si>
    <t xml:space="preserve">Images visible in the registry</t>
  </si>
  <si>
    <t xml:space="preserve">Deployment</t>
  </si>
  <si>
    <t xml:space="preserve">Deploy to Azure Container Apps (or any free tier)</t>
  </si>
  <si>
    <t xml:space="preserve">Live URL answers a health check</t>
  </si>
  <si>
    <t xml:space="preserve">Secrets via environment variables or Key Vault; none in git</t>
  </si>
  <si>
    <t xml:space="preserve">No passwords or tokens in the repo history</t>
  </si>
  <si>
    <t xml:space="preserve">Hardening</t>
  </si>
  <si>
    <t xml:space="preserve">Failure drills: kill Payment, RabbitMQ down, database down</t>
  </si>
  <si>
    <t xml:space="preserve">Each drill documented with expected vs actual behaviour</t>
  </si>
  <si>
    <t xml:space="preserve">Architecture diagram and event flow diagram</t>
  </si>
  <si>
    <t xml:space="preserve">Both in the README</t>
  </si>
  <si>
    <t xml:space="preserve">README 'decisions and trade-offs': why outbox, why saga over 2PC, why RabbitMQ over Kafka, what changes at 100x scale</t>
  </si>
  <si>
    <t xml:space="preserve">Section written</t>
  </si>
  <si>
    <t xml:space="preserve">README: how to run, load-test results, failure drills</t>
  </si>
  <si>
    <t xml:space="preserve">Clean-clone run works from README alone</t>
  </si>
  <si>
    <t xml:space="preserve">Record a 2-minute demo GIF or video</t>
  </si>
  <si>
    <t xml:space="preserve">Embedded in the README</t>
  </si>
  <si>
    <t xml:space="preserve">Add the project to your resume with real numbers</t>
  </si>
  <si>
    <t xml:space="preserve">3-4 bullets drafted using your measured orders/sec and p95</t>
  </si>
  <si>
    <t xml:space="preserve">Interview</t>
  </si>
  <si>
    <t xml:space="preserve">Mock interview over the Concepts sheet</t>
  </si>
  <si>
    <t xml:space="preserve">You can answer every practice question without notes</t>
  </si>
  <si>
    <t xml:space="preserve">Optional</t>
  </si>
  <si>
    <t xml:space="preserve">Kafka for one flow (order events for statistics)</t>
  </si>
  <si>
    <t xml:space="preserve">Events visible on a topic and consumed; you can explain why you chose Kafka here</t>
  </si>
  <si>
    <t xml:space="preserve">Basic Kubernetes manifests on a local cluster (only if you can explain them)</t>
  </si>
  <si>
    <t xml:space="preserve">All pods Running</t>
  </si>
  <si>
    <t xml:space="preserve">LLM-powered feature, e.g. natural-language order search or a support summarizer</t>
  </si>
  <si>
    <t xml:space="preserve">Feature works against a real LLM API call</t>
  </si>
  <si>
    <t xml:space="preserve">OrderFlow (.NET): Day-by-Day Build Plan</t>
  </si>
  <si>
    <t xml:space="preserve">30 build days across 5 weeks (plus 3 optional days in week 6), mapped to the Implementation sheet. Assumes about 1.5-2 hours on weekdays and a longer block on the weekend, roughly 12-15 hours a week. Day 6 of each week is the weekend block.</t>
  </si>
  <si>
    <t xml:space="preserve">How we work each day</t>
  </si>
  <si>
    <t xml:space="preserve">1. You send: the previous day's solution as a zip, plus a message like "Day 4". Exclude bin/, obj/, .vs/, .git/ and any .env files with real secrets.</t>
  </si>
  <si>
    <t xml:space="preserve">2. I send back: the goal for the day, the concepts in plain language, the code file by file, the commands to run, the exact "Done when" check from your tracker, and 3 interview-style questions.</t>
  </si>
  <si>
    <t xml:space="preserve">3. You do: type or paste the code (typing beats pasting for learning), run it, break it on purpose once, and confirm the "Done when" check passes. Use an AI assistant for boilerplate, and spend your own time on design decisions.</t>
  </si>
  <si>
    <t xml:space="preserve">4. You update the tracker: set Done to Yes only when the check is true. Set "Can I explain it?" to Yes only when you can explain the concept out loud without notes.</t>
  </si>
  <si>
    <t xml:space="preserve">5. If something fails: send me the error text or a screenshot plus the zip, and we fix it before moving on.</t>
  </si>
  <si>
    <t xml:space="preserve">The zip lets me match your namespaces, package versions and existing code, so each day's code fits what you already have.</t>
  </si>
  <si>
    <t xml:space="preserve">Scope reminder</t>
  </si>
  <si>
    <t xml:space="preserve">4 services plus a gateway (Order, Inventory, Payment, Notification, YARP). One saga. No frontend, no admin panel. If you fall behind, cut Notification or Redis, never the tests or the saga.</t>
  </si>
  <si>
    <t xml:space="preserve">Week 1: Foundation and first two services</t>
  </si>
  <si>
    <t xml:space="preserve">Day</t>
  </si>
  <si>
    <t xml:space="preserve">We build</t>
  </si>
  <si>
    <t xml:space="preserve">Concepts we learn</t>
  </si>
  <si>
    <t xml:space="preserve">Tracker items</t>
  </si>
  <si>
    <t xml:space="preserve">Setup, solution structure</t>
  </si>
  <si>
    <t xml:space="preserve">Solution and project structure, why a shared Contracts project</t>
  </si>
  <si>
    <t xml:space="preserve">1-2</t>
  </si>
  <si>
    <t xml:space="preserve">Compose Postgres, contracts, Inventory project</t>
  </si>
  <si>
    <t xml:space="preserve">Database per service, Clean Architecture layers</t>
  </si>
  <si>
    <t xml:space="preserve">3-5</t>
  </si>
  <si>
    <t xml:space="preserve">Inventory entity, migrations, CRUD endpoints</t>
  </si>
  <si>
    <t xml:space="preserve">EF Core change tracking and migrations, REST status codes, validation</t>
  </si>
  <si>
    <t xml:space="preserve">6-7</t>
  </si>
  <si>
    <t xml:space="preserve">Order Service project, entities, migration</t>
  </si>
  <si>
    <t xml:space="preserve">DI lifetimes, Options pattern, N+1 problem</t>
  </si>
  <si>
    <t xml:space="preserve">8-9</t>
  </si>
  <si>
    <t xml:space="preserve">Order endpoints and pagination</t>
  </si>
  <si>
    <t xml:space="preserve">Projections and AsNoTracking, offset vs keyset pagination</t>
  </si>
  <si>
    <t xml:space="preserve">10-11</t>
  </si>
  <si>
    <t xml:space="preserve">Error handling, logging, health, Dockerfiles (weekend block)</t>
  </si>
  <si>
    <t xml:space="preserve">Middleware pipeline, ProblemDetails, structured logging, multi-stage builds</t>
  </si>
  <si>
    <t xml:space="preserve">12-15</t>
  </si>
  <si>
    <t xml:space="preserve">Week 2: Messaging and reliability</t>
  </si>
  <si>
    <t xml:space="preserve">RabbitMQ and MassTransit, Payment and Notification services</t>
  </si>
  <si>
    <t xml:space="preserve">Exchanges, queues, bindings, acks; events vs commands</t>
  </si>
  <si>
    <t xml:space="preserve">16-18</t>
  </si>
  <si>
    <t xml:space="preserve">Inventory consumers, reproduce failures, Order outbox</t>
  </si>
  <si>
    <t xml:space="preserve">Dual-write problem, transactional outbox</t>
  </si>
  <si>
    <t xml:space="preserve">19-21</t>
  </si>
  <si>
    <t xml:space="preserve">Outbox for other services, saga state</t>
  </si>
  <si>
    <t xml:space="preserve">Saga orchestration vs choreography, persisted state</t>
  </si>
  <si>
    <t xml:space="preserve">22-23</t>
  </si>
  <si>
    <t xml:space="preserve">Saga happy path and payment-failure compensation</t>
  </si>
  <si>
    <t xml:space="preserve">Compensation, eventual consistency, why 2PC is avoided</t>
  </si>
  <si>
    <t xml:space="preserve">24-25</t>
  </si>
  <si>
    <t xml:space="preserve">Invalid transitions, notifications, idempotent consumers</t>
  </si>
  <si>
    <t xml:space="preserve">Inbox pattern, idempotency, delivery semantics</t>
  </si>
  <si>
    <t xml:space="preserve">26-28</t>
  </si>
  <si>
    <t xml:space="preserve">Retries, error queue, kill test, decision notes (weekend block)</t>
  </si>
  <si>
    <t xml:space="preserve">Backoff and jitter, poison messages, CAP basics</t>
  </si>
  <si>
    <t xml:space="preserve">29-32</t>
  </si>
  <si>
    <t xml:space="preserve">Week 3: Gateway, security, performance</t>
  </si>
  <si>
    <t xml:space="preserve">YARP gateway and rate limiting</t>
  </si>
  <si>
    <t xml:space="preserve">API gateway pattern, rate limiting</t>
  </si>
  <si>
    <t xml:space="preserve">33-34</t>
  </si>
  <si>
    <t xml:space="preserve">JWT at the gateway and role policies</t>
  </si>
  <si>
    <t xml:space="preserve">AuthN vs AuthZ, 401 vs 403, JWT structure, OAuth 2.0 and OIDC, Entra ID</t>
  </si>
  <si>
    <t xml:space="preserve">35-36</t>
  </si>
  <si>
    <t xml:space="preserve">Redis cache-aside and invalidation</t>
  </si>
  <si>
    <t xml:space="preserve">Cache-aside, TTL, invalidation, stampede</t>
  </si>
  <si>
    <t xml:space="preserve">37-38</t>
  </si>
  <si>
    <t xml:space="preserve">Optimistic concurrency and the last-unit demo</t>
  </si>
  <si>
    <t xml:space="preserve">Optimistic vs pessimistic concurrency, isolation levels</t>
  </si>
  <si>
    <t xml:space="preserve">39-40</t>
  </si>
  <si>
    <t xml:space="preserve">Dapper hot query, execution plan, API versioning</t>
  </si>
  <si>
    <t xml:space="preserve">Indexing and execution plans, Dapper vs EF Core, API versioning</t>
  </si>
  <si>
    <t xml:space="preserve">41-42</t>
  </si>
  <si>
    <t xml:space="preserve">Polly resilience, decision notes (weekend block)</t>
  </si>
  <si>
    <t xml:space="preserve">HttpClientFactory, circuit breaker states, timeouts and retry storms</t>
  </si>
  <si>
    <t xml:space="preserve">43-44</t>
  </si>
  <si>
    <t xml:space="preserve">Week 4: Quality and observability</t>
  </si>
  <si>
    <t xml:space="preserve">Unit tests and saga harness tests</t>
  </si>
  <si>
    <t xml:space="preserve">Test pyramid, testing sagas with the MassTransit harness</t>
  </si>
  <si>
    <t xml:space="preserve">45-46</t>
  </si>
  <si>
    <t xml:space="preserve">Testcontainers with Postgres, concurrency test</t>
  </si>
  <si>
    <t xml:space="preserve">Why Testcontainers instead of mocks or in-memory databases</t>
  </si>
  <si>
    <t xml:space="preserve">47-48</t>
  </si>
  <si>
    <t xml:space="preserve">End-to-end test with RabbitMQ</t>
  </si>
  <si>
    <t xml:space="preserve">Integration vs unit tests, test isolation</t>
  </si>
  <si>
    <t xml:space="preserve">49</t>
  </si>
  <si>
    <t xml:space="preserve">Correlation IDs and OpenTelemetry tracing</t>
  </si>
  <si>
    <t xml:space="preserve">Logs, metrics, traces; context propagation over a message hop</t>
  </si>
  <si>
    <t xml:space="preserve">50-52</t>
  </si>
  <si>
    <t xml:space="preserve">Prometheus and Grafana</t>
  </si>
  <si>
    <t xml:space="preserve">RED method, p95 and p99 latency</t>
  </si>
  <si>
    <t xml:space="preserve">53-54</t>
  </si>
  <si>
    <t xml:space="preserve">k6 load test and recorded numbers (weekend block)</t>
  </si>
  <si>
    <t xml:space="preserve">Load testing, bottleneck hunting, reading results honestly</t>
  </si>
  <si>
    <t xml:space="preserve">55-56</t>
  </si>
  <si>
    <t xml:space="preserve">Week 5: Ship it</t>
  </si>
  <si>
    <t xml:space="preserve">GitHub Actions and image push</t>
  </si>
  <si>
    <t xml:space="preserve">CI/CD pipeline stages</t>
  </si>
  <si>
    <t xml:space="preserve">57-58</t>
  </si>
  <si>
    <t xml:space="preserve">Azure Container Apps deploy and secrets</t>
  </si>
  <si>
    <t xml:space="preserve">Horizontal scaling and statelessness, secrets handling</t>
  </si>
  <si>
    <t xml:space="preserve">59-60</t>
  </si>
  <si>
    <t xml:space="preserve">Failure drills</t>
  </si>
  <si>
    <t xml:space="preserve">Expected vs actual behaviour under failure</t>
  </si>
  <si>
    <t xml:space="preserve">61</t>
  </si>
  <si>
    <t xml:space="preserve">Diagrams and trade-offs section</t>
  </si>
  <si>
    <t xml:space="preserve">What changes at 100x scale, why each pattern was chosen</t>
  </si>
  <si>
    <t xml:space="preserve">62-63</t>
  </si>
  <si>
    <t xml:space="preserve">README run guide and demo</t>
  </si>
  <si>
    <t xml:space="preserve">Explaining the project in 60 seconds</t>
  </si>
  <si>
    <t xml:space="preserve">64-65</t>
  </si>
  <si>
    <t xml:space="preserve">Resume bullets and mock interview (weekend block)</t>
  </si>
  <si>
    <t xml:space="preserve">Everything in the Concepts sheet</t>
  </si>
  <si>
    <t xml:space="preserve">66-67</t>
  </si>
  <si>
    <t xml:space="preserve">Week 6 (optional buffer): only if weeks 1-5 are finished</t>
  </si>
  <si>
    <t xml:space="preserve">Kafka for one flow</t>
  </si>
  <si>
    <t xml:space="preserve">Kafka topics, partitions, consumer groups; RabbitMQ vs Kafka</t>
  </si>
  <si>
    <t xml:space="preserve">68</t>
  </si>
  <si>
    <t xml:space="preserve">Basic Kubernetes manifests</t>
  </si>
  <si>
    <t xml:space="preserve">Pods, deployments, probes</t>
  </si>
  <si>
    <t xml:space="preserve">69</t>
  </si>
  <si>
    <t xml:space="preserve">LLM feature</t>
  </si>
  <si>
    <t xml:space="preserve">LLM API basics and the idea of RAG</t>
  </si>
  <si>
    <t xml:space="preserve">70</t>
  </si>
  <si>
    <t xml:space="preserve">Pacing notes</t>
  </si>
  <si>
    <t xml:space="preserve">If a day takes longer than your session, stop at a clean point and we continue the same day next time. Don't rush to keep the numbering.</t>
  </si>
  <si>
    <t xml:space="preserve">Every 5th day I'll start with a 10-minute recall check on the previous week's concepts.</t>
  </si>
  <si>
    <t xml:space="preserve">The plan is a default. If you want to skip the gateway, go deeper on a topic, or add something, tell me and we adjust the remaining days.</t>
  </si>
  <si>
    <t xml:space="preserve">Concepts to understand and explain</t>
  </si>
  <si>
    <t xml:space="preserve">Legend: yellow = edit. Set 'Can I explain it?' to Yes only when you can explain it out loud, without notes, using OrderFlow as the example. Example Notes: 'Re-read outbox article; explain with diagram'.</t>
  </si>
  <si>
    <t xml:space="preserve">Category</t>
  </si>
  <si>
    <t xml:space="preserve">Concept</t>
  </si>
  <si>
    <t xml:space="preserve">Where it shows up in OrderFlow</t>
  </si>
  <si>
    <t xml:space="preserve">When</t>
  </si>
  <si>
    <t xml:space="preserve">Practice question (interview style)</t>
  </si>
  <si>
    <t xml:space="preserve">Can I explain it?</t>
  </si>
  <si>
    <t xml:space="preserve">C# / .NET</t>
  </si>
  <si>
    <t xml:space="preserve">Dependency injection lifetimes (singleton, scoped, transient) and captive dependencies</t>
  </si>
  <si>
    <t xml:space="preserve">Every service</t>
  </si>
  <si>
    <t xml:space="preserve">What happens if you inject a scoped service into a singleton?</t>
  </si>
  <si>
    <t xml:space="preserve">Middleware pipeline and why order matters</t>
  </si>
  <si>
    <t xml:space="preserve">APIs and gateway</t>
  </si>
  <si>
    <t xml:space="preserve">Why does the order of app.Use calls matter?</t>
  </si>
  <si>
    <t xml:space="preserve">async/await and CancellationToken</t>
  </si>
  <si>
    <t xml:space="preserve">Every endpoint</t>
  </si>
  <si>
    <t xml:space="preserve">What does await do, and why pass a CancellationToken?</t>
  </si>
  <si>
    <t xml:space="preserve">Options pattern and configuration</t>
  </si>
  <si>
    <t xml:space="preserve">Compose, Azure</t>
  </si>
  <si>
    <t xml:space="preserve">How do you run the same build in dev and prod?</t>
  </si>
  <si>
    <t xml:space="preserve">Minimal APIs vs controllers</t>
  </si>
  <si>
    <t xml:space="preserve">Services</t>
  </si>
  <si>
    <t xml:space="preserve">When would you choose each?</t>
  </si>
  <si>
    <t xml:space="preserve">Background services and hosted services</t>
  </si>
  <si>
    <t xml:space="preserve">MassTransit, outbox delivery</t>
  </si>
  <si>
    <t xml:space="preserve">How does a BackgroundService differ from a request handler?</t>
  </si>
  <si>
    <t xml:space="preserve">HttpClientFactory with Polly</t>
  </si>
  <si>
    <t xml:space="preserve">Order &gt; Inventory call</t>
  </si>
  <si>
    <t xml:space="preserve">Why not new HttpClient() per request?</t>
  </si>
  <si>
    <t xml:space="preserve">EF Core change tracking, AsNoTracking, projections</t>
  </si>
  <si>
    <t xml:space="preserve">Order and Inventory</t>
  </si>
  <si>
    <t xml:space="preserve">When do you use AsNoTracking?</t>
  </si>
  <si>
    <t xml:space="preserve">N+1 problem and how to fix it</t>
  </si>
  <si>
    <t xml:space="preserve">Order + OrderItem</t>
  </si>
  <si>
    <t xml:space="preserve">What is N+1 and how do you spot it?</t>
  </si>
  <si>
    <t xml:space="preserve">Migrations and why the schema is code</t>
  </si>
  <si>
    <t xml:space="preserve">How do you ship a schema change safely?</t>
  </si>
  <si>
    <t xml:space="preserve">Database per service</t>
  </si>
  <si>
    <t xml:space="preserve">Why not one shared database?</t>
  </si>
  <si>
    <t xml:space="preserve">Pagination: offset vs keyset</t>
  </si>
  <si>
    <t xml:space="preserve">Order list</t>
  </si>
  <si>
    <t xml:space="preserve">Why does offset pagination get slow on large tables?</t>
  </si>
  <si>
    <t xml:space="preserve">Transactions and isolation levels</t>
  </si>
  <si>
    <t xml:space="preserve">Order creation, outbox</t>
  </si>
  <si>
    <t xml:space="preserve">Weeks 2-3</t>
  </si>
  <si>
    <t xml:space="preserve">What does read committed allow that serializable does not?</t>
  </si>
  <si>
    <t xml:space="preserve">Optimistic vs pessimistic concurrency, row versions</t>
  </si>
  <si>
    <t xml:space="preserve">Inventory stock</t>
  </si>
  <si>
    <t xml:space="preserve">How do you stop two orders buying the last item?</t>
  </si>
  <si>
    <t xml:space="preserve">Indexing and execution plans</t>
  </si>
  <si>
    <t xml:space="preserve">Hot inventory query</t>
  </si>
  <si>
    <t xml:space="preserve">How do you decide what to index? How do you read EXPLAIN ANALYZE?</t>
  </si>
  <si>
    <t xml:space="preserve">Dapper vs EF Core, when to use raw SQL</t>
  </si>
  <si>
    <t xml:space="preserve">Inventory hot query</t>
  </si>
  <si>
    <t xml:space="preserve">When is EF Core the wrong tool?</t>
  </si>
  <si>
    <t xml:space="preserve">Architecture</t>
  </si>
  <si>
    <t xml:space="preserve">Microservices vs monolith trade-offs (when NOT to use them)</t>
  </si>
  <si>
    <t xml:space="preserve">Whole project</t>
  </si>
  <si>
    <t xml:space="preserve">What problems did splitting into services cause?</t>
  </si>
  <si>
    <t xml:space="preserve">Clean Architecture and dependency direction</t>
  </si>
  <si>
    <t xml:space="preserve">What does each layer depend on, and why?</t>
  </si>
  <si>
    <t xml:space="preserve">Sync (HTTP) vs async (messages) communication</t>
  </si>
  <si>
    <t xml:space="preserve">Order &gt; Inventory vs saga</t>
  </si>
  <si>
    <t xml:space="preserve">When do you choose each?</t>
  </si>
  <si>
    <t xml:space="preserve">API gateway pattern and BFF idea</t>
  </si>
  <si>
    <t xml:space="preserve">YARP</t>
  </si>
  <si>
    <t xml:space="preserve">What does a gateway give you and cost you?</t>
  </si>
  <si>
    <t xml:space="preserve">RabbitMQ basics: exchanges, queues, bindings, acks</t>
  </si>
  <si>
    <t xml:space="preserve">MassTransit topology</t>
  </si>
  <si>
    <t xml:space="preserve">What happens to a message if the consumer crashes before acking?</t>
  </si>
  <si>
    <t xml:space="preserve">Events vs commands; message contracts and versioning</t>
  </si>
  <si>
    <t xml:space="preserve">Contracts project</t>
  </si>
  <si>
    <t xml:space="preserve">How do you change a message without breaking consumers?</t>
  </si>
  <si>
    <t xml:space="preserve">RabbitMQ vs Kafka</t>
  </si>
  <si>
    <t xml:space="preserve">README trade-offs</t>
  </si>
  <si>
    <t xml:space="preserve">Weeks 2, 6</t>
  </si>
  <si>
    <t xml:space="preserve">Why did you pick RabbitMQ here and when would you pick Kafka?</t>
  </si>
  <si>
    <t xml:space="preserve">Distributed systems</t>
  </si>
  <si>
    <t xml:space="preserve">Dual-write problem and transactional outbox</t>
  </si>
  <si>
    <t xml:space="preserve">Order messages</t>
  </si>
  <si>
    <t xml:space="preserve">Why can't you just save to the DB and then publish?</t>
  </si>
  <si>
    <t xml:space="preserve">Inbox pattern and idempotency</t>
  </si>
  <si>
    <t xml:space="preserve">Consumers, Payment</t>
  </si>
  <si>
    <t xml:space="preserve">How do you avoid double-charging?</t>
  </si>
  <si>
    <t xml:space="preserve">Delivery semantics: at-most-once, at-least-once, exactly-once</t>
  </si>
  <si>
    <t xml:space="preserve">Message flow</t>
  </si>
  <si>
    <t xml:space="preserve">Why is exactly-once so hard?</t>
  </si>
  <si>
    <t xml:space="preserve">Saga pattern: orchestration vs choreography, compensation</t>
  </si>
  <si>
    <t xml:space="preserve">Order saga</t>
  </si>
  <si>
    <t xml:space="preserve">Why not a distributed transaction (2PC)?</t>
  </si>
  <si>
    <t xml:space="preserve">Eventual consistency and CAP basics</t>
  </si>
  <si>
    <t xml:space="preserve">Order status</t>
  </si>
  <si>
    <t xml:space="preserve">What does the customer see while the saga is running?</t>
  </si>
  <si>
    <t xml:space="preserve">Retries with backoff and jitter, dead-letter queues, poison messages</t>
  </si>
  <si>
    <t xml:space="preserve">Consumers</t>
  </si>
  <si>
    <t xml:space="preserve">What happens when one message keeps failing? When is retrying harmful?</t>
  </si>
  <si>
    <t xml:space="preserve">Cache-aside, TTL, invalidation, cache stampede</t>
  </si>
  <si>
    <t xml:space="preserve">Redis</t>
  </si>
  <si>
    <t xml:space="preserve">What can go wrong with caching?</t>
  </si>
  <si>
    <t xml:space="preserve">Circuit breaker states (closed, open, half-open)</t>
  </si>
  <si>
    <t xml:space="preserve">Polly</t>
  </si>
  <si>
    <t xml:space="preserve">Explain a circuit breaker with your own example.</t>
  </si>
  <si>
    <t xml:space="preserve">Rate limiting and overload protection</t>
  </si>
  <si>
    <t xml:space="preserve">How would you protect a service from overload?</t>
  </si>
  <si>
    <t xml:space="preserve">API and Security</t>
  </si>
  <si>
    <t xml:space="preserve">REST design: status codes, versioning, ProblemDetails, validation</t>
  </si>
  <si>
    <t xml:space="preserve">All APIs</t>
  </si>
  <si>
    <t xml:space="preserve">PUT vs PATCH; when 400 vs 409 vs 422?</t>
  </si>
  <si>
    <t xml:space="preserve">Authentication vs authorization</t>
  </si>
  <si>
    <t xml:space="preserve">Difference between 401 and 403?</t>
  </si>
  <si>
    <t xml:space="preserve">JWT structure, signing, expiry, revocation</t>
  </si>
  <si>
    <t xml:space="preserve">What are the downsides of JWT? How do you revoke one?</t>
  </si>
  <si>
    <t xml:space="preserve">OAuth 2.0 and OIDC, Entra ID, scopes and roles</t>
  </si>
  <si>
    <t xml:space="preserve">What is the difference between OAuth 2.0 and OIDC?</t>
  </si>
  <si>
    <t xml:space="preserve">Logs, metrics, traces (three pillars)</t>
  </si>
  <si>
    <t xml:space="preserve">Week 4 stack</t>
  </si>
  <si>
    <t xml:space="preserve">How would you debug a slow order in production?</t>
  </si>
  <si>
    <t xml:space="preserve">Distributed tracing: trace, span, context propagation</t>
  </si>
  <si>
    <t xml:space="preserve">OpenTelemetry</t>
  </si>
  <si>
    <t xml:space="preserve">How does a trace ID survive a message hop?</t>
  </si>
  <si>
    <t xml:space="preserve">RED metrics and p95/p99 latency</t>
  </si>
  <si>
    <t xml:space="preserve">Grafana</t>
  </si>
  <si>
    <t xml:space="preserve">Why p95 instead of average?</t>
  </si>
  <si>
    <t xml:space="preserve">Test pyramid; unit vs integration; Testcontainers</t>
  </si>
  <si>
    <t xml:space="preserve">Test suite</t>
  </si>
  <si>
    <t xml:space="preserve">Why Testcontainers instead of mocks or in-memory databases?</t>
  </si>
  <si>
    <t xml:space="preserve">Testing sagas and concurrency</t>
  </si>
  <si>
    <t xml:space="preserve">Harness and last-unit test</t>
  </si>
  <si>
    <t xml:space="preserve">How do you prove the saga compensates correctly?</t>
  </si>
  <si>
    <t xml:space="preserve">Infrastructure</t>
  </si>
  <si>
    <t xml:space="preserve">Docker images, layers, multi-stage builds</t>
  </si>
  <si>
    <t xml:space="preserve">Dockerfiles</t>
  </si>
  <si>
    <t xml:space="preserve">Weeks 1, 5</t>
  </si>
  <si>
    <t xml:space="preserve">How do you make an image smaller?</t>
  </si>
  <si>
    <t xml:space="preserve">GitHub Actions</t>
  </si>
  <si>
    <t xml:space="preserve">What does your pipeline do on a push?</t>
  </si>
  <si>
    <t xml:space="preserve">Horizontal scaling and statelessness</t>
  </si>
  <si>
    <t xml:space="preserve">Whole system</t>
  </si>
  <si>
    <t xml:space="preserve">What stops a service from scaling horizontally?</t>
  </si>
  <si>
    <t xml:space="preserve">Load testing and bottleneck hunting</t>
  </si>
  <si>
    <t xml:space="preserve">k6</t>
  </si>
  <si>
    <t xml:space="preserve">How did you find your bottleneck?</t>
  </si>
  <si>
    <t xml:space="preserve">What changes at 100x scale</t>
  </si>
  <si>
    <t xml:space="preserve">Where does your design break first, and what would you change?</t>
  </si>
  <si>
    <t xml:space="preserve">Final checklist: what must exist before you call OrderFlow done</t>
  </si>
  <si>
    <t xml:space="preserve">Legend: yellow = edit. Set Done to Yes (dropdown) when it's true in your repo. Example Notes: 'Badge added 20 Dec'.</t>
  </si>
  <si>
    <t xml:space="preserve">Item</t>
  </si>
  <si>
    <t xml:space="preserve">Repo</t>
  </si>
  <si>
    <t xml:space="preserve">docker compose up works from a clean clone with one command</t>
  </si>
  <si>
    <t xml:space="preserve">No secrets, passwords or tokens committed</t>
  </si>
  <si>
    <t xml:space="preserve">Clear folder structure: one folder per service, plus Contracts, docs/ and tests/</t>
  </si>
  <si>
    <t xml:space="preserve">Green CI badge in README</t>
  </si>
  <si>
    <t xml:space="preserve">Order, Inventory, Payment and Notification services each run and expose health</t>
  </si>
  <si>
    <t xml:space="preserve">Each service has its own database with EF Core migrations</t>
  </si>
  <si>
    <t xml:space="preserve">Swagger available for each REST service</t>
  </si>
  <si>
    <t xml:space="preserve">YARP gateway with JWT auth and at least two roles</t>
  </si>
  <si>
    <t xml:space="preserve">RabbitMQ with MassTransit and EF Core transactional outbox</t>
  </si>
  <si>
    <t xml:space="preserve">Saga with compensation; invalid state transitions rejected</t>
  </si>
  <si>
    <t xml:space="preserve">Retries with backoff and error queue configured</t>
  </si>
  <si>
    <t xml:space="preserve">Optimistic concurrency: last unit cannot be oversold</t>
  </si>
  <si>
    <t xml:space="preserve">Redis cache-aside and Polly circuit breaker/retry in place</t>
  </si>
  <si>
    <t xml:space="preserve">One order traceable in Jaeger and in logs by one ID</t>
  </si>
  <si>
    <t xml:space="preserve">Grafana dashboard saved in repo</t>
  </si>
  <si>
    <t xml:space="preserve">Unit tests plus Testcontainers integration tests (Postgres and RabbitMQ)</t>
  </si>
  <si>
    <t xml:space="preserve">Saga harness test and failure test: kill a service mid-order, order still completes once</t>
  </si>
  <si>
    <t xml:space="preserve">Deployed to Azure Container Apps (or free tier) with a working URL</t>
  </si>
  <si>
    <t xml:space="preserve">CI/CD pipeline builds, tests and pushes images</t>
  </si>
  <si>
    <t xml:space="preserve">Evidence</t>
  </si>
  <si>
    <t xml:space="preserve">Load-test results (orders/sec, p95, error rate) with and without cache in README</t>
  </si>
  <si>
    <t xml:space="preserve">Failure-drill section and architecture/event flow diagrams in README</t>
  </si>
  <si>
    <t xml:space="preserve">Decisions and trade-offs section in README</t>
  </si>
  <si>
    <t xml:space="preserve">3-4 resume bullets with real numbers</t>
  </si>
  <si>
    <t xml:space="preserve">You can explain every decision note and every concept in the Concepts sheet out loud</t>
  </si>
</sst>
</file>

<file path=xl/styles.xml><?xml version="1.0" encoding="utf-8"?>
<styleSheet xmlns="http://schemas.openxmlformats.org/spreadsheetml/2006/main">
  <numFmts count="3">
    <numFmt numFmtId="164" formatCode="General"/>
    <numFmt numFmtId="165" formatCode="General"/>
    <numFmt numFmtId="166" formatCode="0%"/>
  </numFmts>
  <fonts count="11">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000000"/>
      <name val="Arial"/>
      <family val="0"/>
      <charset val="1"/>
    </font>
    <font>
      <b val="true"/>
      <sz val="10"/>
      <color rgb="FFFFFFFF"/>
      <name val="Arial"/>
      <family val="0"/>
      <charset val="1"/>
    </font>
    <font>
      <b val="true"/>
      <sz val="10"/>
      <color rgb="FF000000"/>
      <name val="Arial"/>
      <family val="0"/>
      <charset val="1"/>
    </font>
    <font>
      <b val="true"/>
      <sz val="12"/>
      <color rgb="FF000000"/>
      <name val="Arial"/>
      <family val="0"/>
      <charset val="1"/>
    </font>
    <font>
      <sz val="10"/>
      <color rgb="FF0000FF"/>
      <name val="Arial"/>
      <family val="0"/>
      <charset val="1"/>
    </font>
    <font>
      <b val="true"/>
      <sz val="16"/>
      <color rgb="FF00000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center" vertical="center" textRotation="0" wrapText="false" indent="0" shrinkToFit="false"/>
      <protection locked="true" hidden="false"/>
    </xf>
    <xf numFmtId="166" fontId="5" fillId="0"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5" fontId="7" fillId="3" borderId="1" xfId="0" applyFont="true" applyBorder="true" applyAlignment="true" applyProtection="false">
      <alignment horizontal="center" vertical="center" textRotation="0" wrapText="false" indent="0" shrinkToFit="false"/>
      <protection locked="true" hidden="false"/>
    </xf>
    <xf numFmtId="166" fontId="7"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row>
    <row r="5" customFormat="false" ht="15" hidden="false" customHeight="false" outlineLevel="0" collapsed="false">
      <c r="A5" s="4" t="s">
        <v>6</v>
      </c>
      <c r="B5" s="5" t="n">
        <f aca="false">COUNTIF(Goals!D5:D15,"Yes")</f>
        <v>0</v>
      </c>
      <c r="C5" s="5" t="n">
        <f aca="false">COUNTA(Goals!B5:B15)</f>
        <v>11</v>
      </c>
      <c r="D5" s="6" t="n">
        <f aca="false">IF(C5=0,0,B5/C5)</f>
        <v>0</v>
      </c>
    </row>
    <row r="6" customFormat="false" ht="15" hidden="false" customHeight="false" outlineLevel="0" collapsed="false">
      <c r="A6" s="4" t="s">
        <v>7</v>
      </c>
      <c r="B6" s="5" t="n">
        <f aca="false">COUNTIF(Implementation!F5:F74,"Yes")</f>
        <v>0</v>
      </c>
      <c r="C6" s="5" t="n">
        <f aca="false">COUNTA(Implementation!D5:D74)</f>
        <v>70</v>
      </c>
      <c r="D6" s="6" t="n">
        <f aca="false">IF(C6=0,0,B6/C6)</f>
        <v>0</v>
      </c>
    </row>
    <row r="7" customFormat="false" ht="15" hidden="false" customHeight="false" outlineLevel="0" collapsed="false">
      <c r="A7" s="4" t="s">
        <v>8</v>
      </c>
      <c r="B7" s="5" t="n">
        <f aca="false">COUNTIF(Concepts!G5:G50,"Yes")</f>
        <v>0</v>
      </c>
      <c r="C7" s="5" t="n">
        <f aca="false">COUNTA(Concepts!C5:C50)</f>
        <v>46</v>
      </c>
      <c r="D7" s="6" t="n">
        <f aca="false">IF(C7=0,0,B7/C7)</f>
        <v>0</v>
      </c>
    </row>
    <row r="8" customFormat="false" ht="15" hidden="false" customHeight="false" outlineLevel="0" collapsed="false">
      <c r="A8" s="4" t="s">
        <v>9</v>
      </c>
      <c r="B8" s="5" t="n">
        <f aca="false">COUNTIF('Final Checklist'!D5:D29,"Yes")</f>
        <v>0</v>
      </c>
      <c r="C8" s="5" t="n">
        <f aca="false">COUNTA('Final Checklist'!C5:C29)</f>
        <v>25</v>
      </c>
      <c r="D8" s="6" t="n">
        <f aca="false">IF(C8=0,0,B8/C8)</f>
        <v>0</v>
      </c>
    </row>
    <row r="11" customFormat="false" ht="15" hidden="false" customHeight="false" outlineLevel="0" collapsed="false">
      <c r="A11" s="7" t="s">
        <v>10</v>
      </c>
    </row>
    <row r="12" customFormat="false" ht="31.5" hidden="false" customHeight="true" outlineLevel="0" collapsed="false">
      <c r="A12" s="3" t="s">
        <v>11</v>
      </c>
      <c r="B12" s="3" t="s">
        <v>3</v>
      </c>
      <c r="C12" s="3" t="s">
        <v>4</v>
      </c>
      <c r="D12" s="3" t="s">
        <v>5</v>
      </c>
    </row>
    <row r="13" customFormat="false" ht="15" hidden="false" customHeight="false" outlineLevel="0" collapsed="false">
      <c r="A13" s="8" t="s">
        <v>12</v>
      </c>
      <c r="B13" s="9" t="n">
        <f aca="false">COUNTIFS(Implementation!$B$5:$B$74,A13,Implementation!$F$5:$F$74,"Yes")</f>
        <v>0</v>
      </c>
      <c r="C13" s="9" t="n">
        <f aca="false">COUNTIF(Implementation!$B$5:$B$74,A13)</f>
        <v>15</v>
      </c>
      <c r="D13" s="10" t="n">
        <f aca="false">IF(C13=0,0,B13/C13)</f>
        <v>0</v>
      </c>
    </row>
    <row r="14" customFormat="false" ht="15" hidden="false" customHeight="false" outlineLevel="0" collapsed="false">
      <c r="A14" s="8" t="s">
        <v>13</v>
      </c>
      <c r="B14" s="9" t="n">
        <f aca="false">COUNTIFS(Implementation!$B$5:$B$74,A14,Implementation!$F$5:$F$74,"Yes")</f>
        <v>0</v>
      </c>
      <c r="C14" s="9" t="n">
        <f aca="false">COUNTIF(Implementation!$B$5:$B$74,A14)</f>
        <v>17</v>
      </c>
      <c r="D14" s="10" t="n">
        <f aca="false">IF(C14=0,0,B14/C14)</f>
        <v>0</v>
      </c>
    </row>
    <row r="15" customFormat="false" ht="15" hidden="false" customHeight="false" outlineLevel="0" collapsed="false">
      <c r="A15" s="8" t="s">
        <v>14</v>
      </c>
      <c r="B15" s="9" t="n">
        <f aca="false">COUNTIFS(Implementation!$B$5:$B$74,A15,Implementation!$F$5:$F$74,"Yes")</f>
        <v>0</v>
      </c>
      <c r="C15" s="9" t="n">
        <f aca="false">COUNTIF(Implementation!$B$5:$B$74,A15)</f>
        <v>12</v>
      </c>
      <c r="D15" s="10" t="n">
        <f aca="false">IF(C15=0,0,B15/C15)</f>
        <v>0</v>
      </c>
    </row>
    <row r="16" customFormat="false" ht="15" hidden="false" customHeight="false" outlineLevel="0" collapsed="false">
      <c r="A16" s="8" t="s">
        <v>15</v>
      </c>
      <c r="B16" s="9" t="n">
        <f aca="false">COUNTIFS(Implementation!$B$5:$B$74,A16,Implementation!$F$5:$F$74,"Yes")</f>
        <v>0</v>
      </c>
      <c r="C16" s="9" t="n">
        <f aca="false">COUNTIF(Implementation!$B$5:$B$74,A16)</f>
        <v>12</v>
      </c>
      <c r="D16" s="10" t="n">
        <f aca="false">IF(C16=0,0,B16/C16)</f>
        <v>0</v>
      </c>
    </row>
    <row r="17" customFormat="false" ht="15" hidden="false" customHeight="false" outlineLevel="0" collapsed="false">
      <c r="A17" s="8" t="s">
        <v>16</v>
      </c>
      <c r="B17" s="9" t="n">
        <f aca="false">COUNTIFS(Implementation!$B$5:$B$74,A17,Implementation!$F$5:$F$74,"Yes")</f>
        <v>0</v>
      </c>
      <c r="C17" s="9" t="n">
        <f aca="false">COUNTIF(Implementation!$B$5:$B$74,A17)</f>
        <v>11</v>
      </c>
      <c r="D17" s="10" t="n">
        <f aca="false">IF(C17=0,0,B17/C17)</f>
        <v>0</v>
      </c>
    </row>
    <row r="18" customFormat="false" ht="15" hidden="false" customHeight="false" outlineLevel="0" collapsed="false">
      <c r="A18" s="8" t="s">
        <v>17</v>
      </c>
      <c r="B18" s="9" t="n">
        <f aca="false">COUNTIFS(Implementation!$B$5:$B$74,A18,Implementation!$F$5:$F$74,"Yes")</f>
        <v>0</v>
      </c>
      <c r="C18" s="9" t="n">
        <f aca="false">COUNTIF(Implementation!$B$5:$B$74,A18)</f>
        <v>3</v>
      </c>
      <c r="D18" s="10" t="n">
        <f aca="false">IF(C18=0,0,B18/C18)</f>
        <v>0</v>
      </c>
    </row>
    <row r="19" customFormat="false" ht="15" hidden="false" customHeight="false" outlineLevel="0" collapsed="false">
      <c r="A19" s="11" t="s">
        <v>18</v>
      </c>
      <c r="B19" s="12" t="n">
        <f aca="false">SUM(B13:B18)</f>
        <v>0</v>
      </c>
      <c r="C19" s="12" t="n">
        <f aca="false">SUM(C13:C18)</f>
        <v>70</v>
      </c>
      <c r="D19" s="13" t="n">
        <f aca="false">IF(C19=0,0,B19/C19)</f>
        <v>0</v>
      </c>
    </row>
    <row r="21" customFormat="false" ht="15" hidden="false" customHeight="false" outlineLevel="0" collapsed="false">
      <c r="A21" s="2" t="s">
        <v>19</v>
      </c>
      <c r="C21" s="2" t="str">
        <f aca="false">IF(C19=C6,"OK","Mismatch")</f>
        <v>OK</v>
      </c>
    </row>
    <row r="22" customFormat="false" ht="15" hidden="false" customHeight="false" outlineLevel="0" collapsed="false">
      <c r="A22" s="2"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62"/>
    <col collapsed="false" customWidth="true" hidden="false" outlineLevel="0" max="4" min="4" style="0" width="10"/>
    <col collapsed="false" customWidth="true" hidden="false" outlineLevel="0" max="5" min="5" style="0" width="30"/>
  </cols>
  <sheetData>
    <row r="1" customFormat="false" ht="17.35" hidden="false" customHeight="false" outlineLevel="0" collapsed="false">
      <c r="A1" s="1" t="s">
        <v>21</v>
      </c>
    </row>
    <row r="2" customFormat="false" ht="15" hidden="false" customHeight="false" outlineLevel="0" collapsed="false">
      <c r="A2" s="2" t="s">
        <v>22</v>
      </c>
    </row>
    <row r="4" customFormat="false" ht="31.5" hidden="false" customHeight="true" outlineLevel="0" collapsed="false">
      <c r="A4" s="3" t="s">
        <v>23</v>
      </c>
      <c r="B4" s="3" t="s">
        <v>24</v>
      </c>
      <c r="C4" s="3" t="s">
        <v>25</v>
      </c>
      <c r="D4" s="3" t="s">
        <v>26</v>
      </c>
      <c r="E4" s="3" t="s">
        <v>27</v>
      </c>
    </row>
    <row r="5" customFormat="false" ht="39.75" hidden="false" customHeight="true" outlineLevel="0" collapsed="false">
      <c r="A5" s="14" t="n">
        <v>1</v>
      </c>
      <c r="B5" s="15" t="s">
        <v>28</v>
      </c>
      <c r="C5" s="15" t="s">
        <v>29</v>
      </c>
      <c r="D5" s="16" t="s">
        <v>30</v>
      </c>
      <c r="E5" s="17"/>
    </row>
    <row r="6" customFormat="false" ht="39.75" hidden="false" customHeight="true" outlineLevel="0" collapsed="false">
      <c r="A6" s="14" t="n">
        <v>2</v>
      </c>
      <c r="B6" s="15" t="s">
        <v>31</v>
      </c>
      <c r="C6" s="15" t="s">
        <v>32</v>
      </c>
      <c r="D6" s="16" t="s">
        <v>30</v>
      </c>
      <c r="E6" s="17"/>
    </row>
    <row r="7" customFormat="false" ht="39.75" hidden="false" customHeight="true" outlineLevel="0" collapsed="false">
      <c r="A7" s="14" t="n">
        <v>3</v>
      </c>
      <c r="B7" s="15" t="s">
        <v>33</v>
      </c>
      <c r="C7" s="15" t="s">
        <v>34</v>
      </c>
      <c r="D7" s="16" t="s">
        <v>30</v>
      </c>
      <c r="E7" s="17"/>
    </row>
    <row r="8" customFormat="false" ht="39.75" hidden="false" customHeight="true" outlineLevel="0" collapsed="false">
      <c r="A8" s="14" t="n">
        <v>4</v>
      </c>
      <c r="B8" s="15" t="s">
        <v>35</v>
      </c>
      <c r="C8" s="15" t="s">
        <v>36</v>
      </c>
      <c r="D8" s="16" t="s">
        <v>30</v>
      </c>
      <c r="E8" s="17"/>
    </row>
    <row r="9" customFormat="false" ht="39.75" hidden="false" customHeight="true" outlineLevel="0" collapsed="false">
      <c r="A9" s="14" t="n">
        <v>5</v>
      </c>
      <c r="B9" s="15" t="s">
        <v>37</v>
      </c>
      <c r="C9" s="15" t="s">
        <v>38</v>
      </c>
      <c r="D9" s="16" t="s">
        <v>30</v>
      </c>
      <c r="E9" s="17"/>
    </row>
    <row r="10" customFormat="false" ht="39.75" hidden="false" customHeight="true" outlineLevel="0" collapsed="false">
      <c r="A10" s="14" t="n">
        <v>6</v>
      </c>
      <c r="B10" s="15" t="s">
        <v>39</v>
      </c>
      <c r="C10" s="15" t="s">
        <v>40</v>
      </c>
      <c r="D10" s="16" t="s">
        <v>30</v>
      </c>
      <c r="E10" s="17"/>
    </row>
    <row r="11" customFormat="false" ht="39.75" hidden="false" customHeight="true" outlineLevel="0" collapsed="false">
      <c r="A11" s="14" t="n">
        <v>7</v>
      </c>
      <c r="B11" s="15" t="s">
        <v>41</v>
      </c>
      <c r="C11" s="15" t="s">
        <v>42</v>
      </c>
      <c r="D11" s="16" t="s">
        <v>30</v>
      </c>
      <c r="E11" s="17"/>
    </row>
    <row r="12" customFormat="false" ht="39.75" hidden="false" customHeight="true" outlineLevel="0" collapsed="false">
      <c r="A12" s="14" t="n">
        <v>8</v>
      </c>
      <c r="B12" s="15" t="s">
        <v>43</v>
      </c>
      <c r="C12" s="15" t="s">
        <v>44</v>
      </c>
      <c r="D12" s="16" t="s">
        <v>30</v>
      </c>
      <c r="E12" s="17"/>
    </row>
    <row r="13" customFormat="false" ht="39.75" hidden="false" customHeight="true" outlineLevel="0" collapsed="false">
      <c r="A13" s="14" t="n">
        <v>9</v>
      </c>
      <c r="B13" s="15" t="s">
        <v>45</v>
      </c>
      <c r="C13" s="15" t="s">
        <v>46</v>
      </c>
      <c r="D13" s="16" t="s">
        <v>30</v>
      </c>
      <c r="E13" s="17"/>
    </row>
    <row r="14" customFormat="false" ht="39.75" hidden="false" customHeight="true" outlineLevel="0" collapsed="false">
      <c r="A14" s="14" t="n">
        <v>10</v>
      </c>
      <c r="B14" s="15" t="s">
        <v>47</v>
      </c>
      <c r="C14" s="15" t="s">
        <v>48</v>
      </c>
      <c r="D14" s="16" t="s">
        <v>30</v>
      </c>
      <c r="E14" s="17"/>
    </row>
    <row r="15" customFormat="false" ht="39.75" hidden="false" customHeight="true" outlineLevel="0" collapsed="false">
      <c r="A15" s="14" t="n">
        <v>11</v>
      </c>
      <c r="B15" s="15" t="s">
        <v>49</v>
      </c>
      <c r="C15" s="15" t="s">
        <v>50</v>
      </c>
      <c r="D15" s="16" t="s">
        <v>30</v>
      </c>
      <c r="E15" s="17"/>
    </row>
  </sheetData>
  <conditionalFormatting sqref="D5:D15">
    <cfRule type="cellIs" priority="2" operator="equal" aboveAverage="0" equalAverage="0" bottom="0" percent="0" rank="0" text="" dxfId="0">
      <formula>"Yes"</formula>
    </cfRule>
  </conditionalFormatting>
  <dataValidations count="1">
    <dataValidation allowBlank="false" errorStyle="stop" operator="between" showDropDown="false" showErrorMessage="false" showInputMessage="false" sqref="D5:D15"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8"/>
    <col collapsed="false" customWidth="true" hidden="false" outlineLevel="0" max="4" min="4" style="0" width="62"/>
    <col collapsed="false" customWidth="true" hidden="false" outlineLevel="0" max="5" min="5" style="0" width="52"/>
    <col collapsed="false" customWidth="true" hidden="false" outlineLevel="0" max="6" min="6" style="0" width="10"/>
    <col collapsed="false" customWidth="true" hidden="false" outlineLevel="0" max="7" min="7" style="0" width="30"/>
  </cols>
  <sheetData>
    <row r="1" customFormat="false" ht="17.35" hidden="false" customHeight="false" outlineLevel="0" collapsed="false">
      <c r="A1" s="1" t="s">
        <v>51</v>
      </c>
    </row>
    <row r="2" customFormat="false" ht="15" hidden="false" customHeight="false" outlineLevel="0" collapsed="false">
      <c r="A2" s="2" t="s">
        <v>52</v>
      </c>
    </row>
    <row r="4" customFormat="false" ht="31.5" hidden="false" customHeight="true" outlineLevel="0" collapsed="false">
      <c r="A4" s="3" t="s">
        <v>23</v>
      </c>
      <c r="B4" s="3" t="s">
        <v>11</v>
      </c>
      <c r="C4" s="3" t="s">
        <v>53</v>
      </c>
      <c r="D4" s="3" t="s">
        <v>54</v>
      </c>
      <c r="E4" s="3" t="s">
        <v>55</v>
      </c>
      <c r="F4" s="3" t="s">
        <v>26</v>
      </c>
      <c r="G4" s="3" t="s">
        <v>27</v>
      </c>
    </row>
    <row r="5" customFormat="false" ht="15" hidden="false" customHeight="false" outlineLevel="0" collapsed="false">
      <c r="A5" s="14" t="n">
        <v>1</v>
      </c>
      <c r="B5" s="14" t="s">
        <v>12</v>
      </c>
      <c r="C5" s="15" t="s">
        <v>56</v>
      </c>
      <c r="D5" s="15" t="s">
        <v>57</v>
      </c>
      <c r="E5" s="15" t="s">
        <v>58</v>
      </c>
      <c r="F5" s="16" t="s">
        <v>30</v>
      </c>
      <c r="G5" s="17"/>
    </row>
    <row r="6" customFormat="false" ht="23.85" hidden="false" customHeight="false" outlineLevel="0" collapsed="false">
      <c r="A6" s="14" t="n">
        <v>2</v>
      </c>
      <c r="B6" s="14" t="s">
        <v>12</v>
      </c>
      <c r="C6" s="15" t="s">
        <v>56</v>
      </c>
      <c r="D6" s="15" t="s">
        <v>59</v>
      </c>
      <c r="E6" s="15" t="s">
        <v>60</v>
      </c>
      <c r="F6" s="16" t="s">
        <v>30</v>
      </c>
      <c r="G6" s="17"/>
    </row>
    <row r="7" customFormat="false" ht="23.85" hidden="false" customHeight="false" outlineLevel="0" collapsed="false">
      <c r="A7" s="14" t="n">
        <v>3</v>
      </c>
      <c r="B7" s="14" t="s">
        <v>12</v>
      </c>
      <c r="C7" s="15" t="s">
        <v>61</v>
      </c>
      <c r="D7" s="15" t="s">
        <v>62</v>
      </c>
      <c r="E7" s="15" t="s">
        <v>63</v>
      </c>
      <c r="F7" s="16" t="s">
        <v>30</v>
      </c>
      <c r="G7" s="17"/>
    </row>
    <row r="8" customFormat="false" ht="23.85" hidden="false" customHeight="false" outlineLevel="0" collapsed="false">
      <c r="A8" s="14" t="n">
        <v>4</v>
      </c>
      <c r="B8" s="14" t="s">
        <v>12</v>
      </c>
      <c r="C8" s="15" t="s">
        <v>64</v>
      </c>
      <c r="D8" s="15" t="s">
        <v>65</v>
      </c>
      <c r="E8" s="15" t="s">
        <v>66</v>
      </c>
      <c r="F8" s="16" t="s">
        <v>30</v>
      </c>
      <c r="G8" s="17"/>
    </row>
    <row r="9" customFormat="false" ht="23.85" hidden="false" customHeight="false" outlineLevel="0" collapsed="false">
      <c r="A9" s="14" t="n">
        <v>5</v>
      </c>
      <c r="B9" s="14" t="s">
        <v>12</v>
      </c>
      <c r="C9" s="15" t="s">
        <v>67</v>
      </c>
      <c r="D9" s="15" t="s">
        <v>68</v>
      </c>
      <c r="E9" s="15" t="s">
        <v>69</v>
      </c>
      <c r="F9" s="16" t="s">
        <v>30</v>
      </c>
      <c r="G9" s="17"/>
    </row>
    <row r="10" customFormat="false" ht="15" hidden="false" customHeight="false" outlineLevel="0" collapsed="false">
      <c r="A10" s="14" t="n">
        <v>6</v>
      </c>
      <c r="B10" s="14" t="s">
        <v>12</v>
      </c>
      <c r="C10" s="15" t="s">
        <v>67</v>
      </c>
      <c r="D10" s="15" t="s">
        <v>70</v>
      </c>
      <c r="E10" s="15" t="s">
        <v>71</v>
      </c>
      <c r="F10" s="16" t="s">
        <v>30</v>
      </c>
      <c r="G10" s="17"/>
    </row>
    <row r="11" customFormat="false" ht="23.85" hidden="false" customHeight="false" outlineLevel="0" collapsed="false">
      <c r="A11" s="14" t="n">
        <v>7</v>
      </c>
      <c r="B11" s="14" t="s">
        <v>12</v>
      </c>
      <c r="C11" s="15" t="s">
        <v>67</v>
      </c>
      <c r="D11" s="15" t="s">
        <v>72</v>
      </c>
      <c r="E11" s="15" t="s">
        <v>73</v>
      </c>
      <c r="F11" s="16" t="s">
        <v>30</v>
      </c>
      <c r="G11" s="17"/>
    </row>
    <row r="12" customFormat="false" ht="23.85" hidden="false" customHeight="false" outlineLevel="0" collapsed="false">
      <c r="A12" s="14" t="n">
        <v>8</v>
      </c>
      <c r="B12" s="14" t="s">
        <v>12</v>
      </c>
      <c r="C12" s="15" t="s">
        <v>74</v>
      </c>
      <c r="D12" s="15" t="s">
        <v>75</v>
      </c>
      <c r="E12" s="15" t="s">
        <v>76</v>
      </c>
      <c r="F12" s="16" t="s">
        <v>30</v>
      </c>
      <c r="G12" s="17"/>
    </row>
    <row r="13" customFormat="false" ht="15" hidden="false" customHeight="false" outlineLevel="0" collapsed="false">
      <c r="A13" s="14" t="n">
        <v>9</v>
      </c>
      <c r="B13" s="14" t="s">
        <v>12</v>
      </c>
      <c r="C13" s="15" t="s">
        <v>74</v>
      </c>
      <c r="D13" s="15" t="s">
        <v>77</v>
      </c>
      <c r="E13" s="15" t="s">
        <v>78</v>
      </c>
      <c r="F13" s="16" t="s">
        <v>30</v>
      </c>
      <c r="G13" s="17"/>
    </row>
    <row r="14" customFormat="false" ht="15" hidden="false" customHeight="false" outlineLevel="0" collapsed="false">
      <c r="A14" s="14" t="n">
        <v>10</v>
      </c>
      <c r="B14" s="14" t="s">
        <v>12</v>
      </c>
      <c r="C14" s="15" t="s">
        <v>74</v>
      </c>
      <c r="D14" s="15" t="s">
        <v>79</v>
      </c>
      <c r="E14" s="15" t="s">
        <v>80</v>
      </c>
      <c r="F14" s="16" t="s">
        <v>30</v>
      </c>
      <c r="G14" s="17"/>
    </row>
    <row r="15" customFormat="false" ht="15" hidden="false" customHeight="false" outlineLevel="0" collapsed="false">
      <c r="A15" s="14" t="n">
        <v>11</v>
      </c>
      <c r="B15" s="14" t="s">
        <v>12</v>
      </c>
      <c r="C15" s="15" t="s">
        <v>74</v>
      </c>
      <c r="D15" s="15" t="s">
        <v>81</v>
      </c>
      <c r="E15" s="15" t="s">
        <v>82</v>
      </c>
      <c r="F15" s="16" t="s">
        <v>30</v>
      </c>
      <c r="G15" s="17"/>
    </row>
    <row r="16" customFormat="false" ht="15" hidden="false" customHeight="false" outlineLevel="0" collapsed="false">
      <c r="A16" s="14" t="n">
        <v>12</v>
      </c>
      <c r="B16" s="14" t="s">
        <v>12</v>
      </c>
      <c r="C16" s="15" t="s">
        <v>61</v>
      </c>
      <c r="D16" s="15" t="s">
        <v>83</v>
      </c>
      <c r="E16" s="15" t="s">
        <v>84</v>
      </c>
      <c r="F16" s="16" t="s">
        <v>30</v>
      </c>
      <c r="G16" s="17"/>
    </row>
    <row r="17" customFormat="false" ht="15" hidden="false" customHeight="false" outlineLevel="0" collapsed="false">
      <c r="A17" s="14" t="n">
        <v>13</v>
      </c>
      <c r="B17" s="14" t="s">
        <v>12</v>
      </c>
      <c r="C17" s="15" t="s">
        <v>61</v>
      </c>
      <c r="D17" s="15" t="s">
        <v>85</v>
      </c>
      <c r="E17" s="15" t="s">
        <v>86</v>
      </c>
      <c r="F17" s="16" t="s">
        <v>30</v>
      </c>
      <c r="G17" s="17"/>
    </row>
    <row r="18" customFormat="false" ht="15" hidden="false" customHeight="false" outlineLevel="0" collapsed="false">
      <c r="A18" s="14" t="n">
        <v>14</v>
      </c>
      <c r="B18" s="14" t="s">
        <v>12</v>
      </c>
      <c r="C18" s="15" t="s">
        <v>61</v>
      </c>
      <c r="D18" s="15" t="s">
        <v>87</v>
      </c>
      <c r="E18" s="15" t="s">
        <v>88</v>
      </c>
      <c r="F18" s="16" t="s">
        <v>30</v>
      </c>
      <c r="G18" s="17"/>
    </row>
    <row r="19" customFormat="false" ht="23.85" hidden="false" customHeight="false" outlineLevel="0" collapsed="false">
      <c r="A19" s="14" t="n">
        <v>15</v>
      </c>
      <c r="B19" s="14" t="s">
        <v>12</v>
      </c>
      <c r="C19" s="15" t="s">
        <v>61</v>
      </c>
      <c r="D19" s="15" t="s">
        <v>89</v>
      </c>
      <c r="E19" s="15" t="s">
        <v>90</v>
      </c>
      <c r="F19" s="16" t="s">
        <v>30</v>
      </c>
      <c r="G19" s="17"/>
    </row>
    <row r="20" customFormat="false" ht="23.85" hidden="false" customHeight="false" outlineLevel="0" collapsed="false">
      <c r="A20" s="14" t="n">
        <v>16</v>
      </c>
      <c r="B20" s="14" t="s">
        <v>13</v>
      </c>
      <c r="C20" s="15" t="s">
        <v>91</v>
      </c>
      <c r="D20" s="15" t="s">
        <v>92</v>
      </c>
      <c r="E20" s="15" t="s">
        <v>93</v>
      </c>
      <c r="F20" s="16" t="s">
        <v>30</v>
      </c>
      <c r="G20" s="17"/>
    </row>
    <row r="21" customFormat="false" ht="23.85" hidden="false" customHeight="false" outlineLevel="0" collapsed="false">
      <c r="A21" s="14" t="n">
        <v>17</v>
      </c>
      <c r="B21" s="14" t="s">
        <v>13</v>
      </c>
      <c r="C21" s="15" t="s">
        <v>94</v>
      </c>
      <c r="D21" s="15" t="s">
        <v>95</v>
      </c>
      <c r="E21" s="15" t="s">
        <v>96</v>
      </c>
      <c r="F21" s="16" t="s">
        <v>30</v>
      </c>
      <c r="G21" s="17"/>
    </row>
    <row r="22" customFormat="false" ht="23.85" hidden="false" customHeight="false" outlineLevel="0" collapsed="false">
      <c r="A22" s="14" t="n">
        <v>18</v>
      </c>
      <c r="B22" s="14" t="s">
        <v>13</v>
      </c>
      <c r="C22" s="15" t="s">
        <v>97</v>
      </c>
      <c r="D22" s="15" t="s">
        <v>98</v>
      </c>
      <c r="E22" s="15" t="s">
        <v>99</v>
      </c>
      <c r="F22" s="16" t="s">
        <v>30</v>
      </c>
      <c r="G22" s="17"/>
    </row>
    <row r="23" customFormat="false" ht="15" hidden="false" customHeight="false" outlineLevel="0" collapsed="false">
      <c r="A23" s="14" t="n">
        <v>19</v>
      </c>
      <c r="B23" s="14" t="s">
        <v>13</v>
      </c>
      <c r="C23" s="15" t="s">
        <v>67</v>
      </c>
      <c r="D23" s="15" t="s">
        <v>100</v>
      </c>
      <c r="E23" s="15" t="s">
        <v>101</v>
      </c>
      <c r="F23" s="16" t="s">
        <v>30</v>
      </c>
      <c r="G23" s="17"/>
    </row>
    <row r="24" customFormat="false" ht="23.85" hidden="false" customHeight="false" outlineLevel="0" collapsed="false">
      <c r="A24" s="14" t="n">
        <v>20</v>
      </c>
      <c r="B24" s="14" t="s">
        <v>13</v>
      </c>
      <c r="C24" s="15" t="s">
        <v>102</v>
      </c>
      <c r="D24" s="15" t="s">
        <v>103</v>
      </c>
      <c r="E24" s="15" t="s">
        <v>104</v>
      </c>
      <c r="F24" s="16" t="s">
        <v>30</v>
      </c>
      <c r="G24" s="17"/>
    </row>
    <row r="25" customFormat="false" ht="23.85" hidden="false" customHeight="false" outlineLevel="0" collapsed="false">
      <c r="A25" s="14" t="n">
        <v>21</v>
      </c>
      <c r="B25" s="14" t="s">
        <v>13</v>
      </c>
      <c r="C25" s="15" t="s">
        <v>102</v>
      </c>
      <c r="D25" s="15" t="s">
        <v>105</v>
      </c>
      <c r="E25" s="15" t="s">
        <v>106</v>
      </c>
      <c r="F25" s="16" t="s">
        <v>30</v>
      </c>
      <c r="G25" s="17"/>
    </row>
    <row r="26" customFormat="false" ht="15" hidden="false" customHeight="false" outlineLevel="0" collapsed="false">
      <c r="A26" s="14" t="n">
        <v>22</v>
      </c>
      <c r="B26" s="14" t="s">
        <v>13</v>
      </c>
      <c r="C26" s="15" t="s">
        <v>102</v>
      </c>
      <c r="D26" s="15" t="s">
        <v>107</v>
      </c>
      <c r="E26" s="15" t="s">
        <v>108</v>
      </c>
      <c r="F26" s="16" t="s">
        <v>30</v>
      </c>
      <c r="G26" s="17"/>
    </row>
    <row r="27" customFormat="false" ht="15" hidden="false" customHeight="false" outlineLevel="0" collapsed="false">
      <c r="A27" s="14" t="n">
        <v>23</v>
      </c>
      <c r="B27" s="14" t="s">
        <v>13</v>
      </c>
      <c r="C27" s="15" t="s">
        <v>109</v>
      </c>
      <c r="D27" s="15" t="s">
        <v>110</v>
      </c>
      <c r="E27" s="15" t="s">
        <v>111</v>
      </c>
      <c r="F27" s="16" t="s">
        <v>30</v>
      </c>
      <c r="G27" s="17"/>
    </row>
    <row r="28" customFormat="false" ht="15" hidden="false" customHeight="false" outlineLevel="0" collapsed="false">
      <c r="A28" s="14" t="n">
        <v>24</v>
      </c>
      <c r="B28" s="14" t="s">
        <v>13</v>
      </c>
      <c r="C28" s="15" t="s">
        <v>109</v>
      </c>
      <c r="D28" s="15" t="s">
        <v>112</v>
      </c>
      <c r="E28" s="15" t="s">
        <v>113</v>
      </c>
      <c r="F28" s="16" t="s">
        <v>30</v>
      </c>
      <c r="G28" s="17"/>
    </row>
    <row r="29" customFormat="false" ht="23.85" hidden="false" customHeight="false" outlineLevel="0" collapsed="false">
      <c r="A29" s="14" t="n">
        <v>25</v>
      </c>
      <c r="B29" s="14" t="s">
        <v>13</v>
      </c>
      <c r="C29" s="15" t="s">
        <v>109</v>
      </c>
      <c r="D29" s="15" t="s">
        <v>114</v>
      </c>
      <c r="E29" s="15" t="s">
        <v>115</v>
      </c>
      <c r="F29" s="16" t="s">
        <v>30</v>
      </c>
      <c r="G29" s="17"/>
    </row>
    <row r="30" customFormat="false" ht="15" hidden="false" customHeight="false" outlineLevel="0" collapsed="false">
      <c r="A30" s="14" t="n">
        <v>26</v>
      </c>
      <c r="B30" s="14" t="s">
        <v>13</v>
      </c>
      <c r="C30" s="15" t="s">
        <v>109</v>
      </c>
      <c r="D30" s="15" t="s">
        <v>116</v>
      </c>
      <c r="E30" s="15" t="s">
        <v>117</v>
      </c>
      <c r="F30" s="16" t="s">
        <v>30</v>
      </c>
      <c r="G30" s="17"/>
    </row>
    <row r="31" customFormat="false" ht="15" hidden="false" customHeight="false" outlineLevel="0" collapsed="false">
      <c r="A31" s="14" t="n">
        <v>27</v>
      </c>
      <c r="B31" s="14" t="s">
        <v>13</v>
      </c>
      <c r="C31" s="15" t="s">
        <v>97</v>
      </c>
      <c r="D31" s="15" t="s">
        <v>118</v>
      </c>
      <c r="E31" s="15" t="s">
        <v>119</v>
      </c>
      <c r="F31" s="16" t="s">
        <v>30</v>
      </c>
      <c r="G31" s="17"/>
    </row>
    <row r="32" customFormat="false" ht="15" hidden="false" customHeight="false" outlineLevel="0" collapsed="false">
      <c r="A32" s="14" t="n">
        <v>28</v>
      </c>
      <c r="B32" s="14" t="s">
        <v>13</v>
      </c>
      <c r="C32" s="15" t="s">
        <v>102</v>
      </c>
      <c r="D32" s="15" t="s">
        <v>120</v>
      </c>
      <c r="E32" s="15" t="s">
        <v>121</v>
      </c>
      <c r="F32" s="16" t="s">
        <v>30</v>
      </c>
      <c r="G32" s="17"/>
    </row>
    <row r="33" customFormat="false" ht="15" hidden="false" customHeight="false" outlineLevel="0" collapsed="false">
      <c r="A33" s="14" t="n">
        <v>29</v>
      </c>
      <c r="B33" s="14" t="s">
        <v>13</v>
      </c>
      <c r="C33" s="15" t="s">
        <v>102</v>
      </c>
      <c r="D33" s="15" t="s">
        <v>122</v>
      </c>
      <c r="E33" s="15" t="s">
        <v>123</v>
      </c>
      <c r="F33" s="16" t="s">
        <v>30</v>
      </c>
      <c r="G33" s="17"/>
    </row>
    <row r="34" customFormat="false" ht="23.85" hidden="false" customHeight="false" outlineLevel="0" collapsed="false">
      <c r="A34" s="14" t="n">
        <v>30</v>
      </c>
      <c r="B34" s="14" t="s">
        <v>13</v>
      </c>
      <c r="C34" s="15" t="s">
        <v>102</v>
      </c>
      <c r="D34" s="15" t="s">
        <v>124</v>
      </c>
      <c r="E34" s="15" t="s">
        <v>125</v>
      </c>
      <c r="F34" s="16" t="s">
        <v>30</v>
      </c>
      <c r="G34" s="17"/>
    </row>
    <row r="35" customFormat="false" ht="15" hidden="false" customHeight="false" outlineLevel="0" collapsed="false">
      <c r="A35" s="14" t="n">
        <v>31</v>
      </c>
      <c r="B35" s="14" t="s">
        <v>13</v>
      </c>
      <c r="C35" s="15" t="s">
        <v>102</v>
      </c>
      <c r="D35" s="15" t="s">
        <v>126</v>
      </c>
      <c r="E35" s="15" t="s">
        <v>127</v>
      </c>
      <c r="F35" s="16" t="s">
        <v>30</v>
      </c>
      <c r="G35" s="17"/>
    </row>
    <row r="36" customFormat="false" ht="15" hidden="false" customHeight="false" outlineLevel="0" collapsed="false">
      <c r="A36" s="14" t="n">
        <v>32</v>
      </c>
      <c r="B36" s="14" t="s">
        <v>13</v>
      </c>
      <c r="C36" s="15" t="s">
        <v>128</v>
      </c>
      <c r="D36" s="15" t="s">
        <v>129</v>
      </c>
      <c r="E36" s="15" t="s">
        <v>130</v>
      </c>
      <c r="F36" s="16" t="s">
        <v>30</v>
      </c>
      <c r="G36" s="17"/>
    </row>
    <row r="37" customFormat="false" ht="15" hidden="false" customHeight="false" outlineLevel="0" collapsed="false">
      <c r="A37" s="14" t="n">
        <v>33</v>
      </c>
      <c r="B37" s="14" t="s">
        <v>14</v>
      </c>
      <c r="C37" s="15" t="s">
        <v>131</v>
      </c>
      <c r="D37" s="15" t="s">
        <v>132</v>
      </c>
      <c r="E37" s="15" t="s">
        <v>133</v>
      </c>
      <c r="F37" s="16" t="s">
        <v>30</v>
      </c>
      <c r="G37" s="17"/>
    </row>
    <row r="38" customFormat="false" ht="15" hidden="false" customHeight="false" outlineLevel="0" collapsed="false">
      <c r="A38" s="14" t="n">
        <v>34</v>
      </c>
      <c r="B38" s="14" t="s">
        <v>14</v>
      </c>
      <c r="C38" s="15" t="s">
        <v>131</v>
      </c>
      <c r="D38" s="15" t="s">
        <v>134</v>
      </c>
      <c r="E38" s="15" t="s">
        <v>135</v>
      </c>
      <c r="F38" s="16" t="s">
        <v>30</v>
      </c>
      <c r="G38" s="17"/>
    </row>
    <row r="39" customFormat="false" ht="23.85" hidden="false" customHeight="false" outlineLevel="0" collapsed="false">
      <c r="A39" s="14" t="n">
        <v>35</v>
      </c>
      <c r="B39" s="14" t="s">
        <v>14</v>
      </c>
      <c r="C39" s="15" t="s">
        <v>136</v>
      </c>
      <c r="D39" s="15" t="s">
        <v>137</v>
      </c>
      <c r="E39" s="15" t="s">
        <v>138</v>
      </c>
      <c r="F39" s="16" t="s">
        <v>30</v>
      </c>
      <c r="G39" s="17"/>
    </row>
    <row r="40" customFormat="false" ht="23.85" hidden="false" customHeight="false" outlineLevel="0" collapsed="false">
      <c r="A40" s="14" t="n">
        <v>36</v>
      </c>
      <c r="B40" s="14" t="s">
        <v>14</v>
      </c>
      <c r="C40" s="15" t="s">
        <v>136</v>
      </c>
      <c r="D40" s="15" t="s">
        <v>139</v>
      </c>
      <c r="E40" s="15" t="s">
        <v>140</v>
      </c>
      <c r="F40" s="16" t="s">
        <v>30</v>
      </c>
      <c r="G40" s="17"/>
    </row>
    <row r="41" customFormat="false" ht="15" hidden="false" customHeight="false" outlineLevel="0" collapsed="false">
      <c r="A41" s="14" t="n">
        <v>37</v>
      </c>
      <c r="B41" s="14" t="s">
        <v>14</v>
      </c>
      <c r="C41" s="15" t="s">
        <v>141</v>
      </c>
      <c r="D41" s="15" t="s">
        <v>142</v>
      </c>
      <c r="E41" s="15" t="s">
        <v>143</v>
      </c>
      <c r="F41" s="16" t="s">
        <v>30</v>
      </c>
      <c r="G41" s="17"/>
    </row>
    <row r="42" customFormat="false" ht="23.85" hidden="false" customHeight="false" outlineLevel="0" collapsed="false">
      <c r="A42" s="14" t="n">
        <v>38</v>
      </c>
      <c r="B42" s="14" t="s">
        <v>14</v>
      </c>
      <c r="C42" s="15" t="s">
        <v>141</v>
      </c>
      <c r="D42" s="15" t="s">
        <v>144</v>
      </c>
      <c r="E42" s="15" t="s">
        <v>145</v>
      </c>
      <c r="F42" s="16" t="s">
        <v>30</v>
      </c>
      <c r="G42" s="17"/>
    </row>
    <row r="43" customFormat="false" ht="23.85" hidden="false" customHeight="false" outlineLevel="0" collapsed="false">
      <c r="A43" s="14" t="n">
        <v>39</v>
      </c>
      <c r="B43" s="14" t="s">
        <v>14</v>
      </c>
      <c r="C43" s="15" t="s">
        <v>146</v>
      </c>
      <c r="D43" s="15" t="s">
        <v>147</v>
      </c>
      <c r="E43" s="15" t="s">
        <v>148</v>
      </c>
      <c r="F43" s="16" t="s">
        <v>30</v>
      </c>
      <c r="G43" s="17"/>
    </row>
    <row r="44" customFormat="false" ht="15" hidden="false" customHeight="false" outlineLevel="0" collapsed="false">
      <c r="A44" s="14" t="n">
        <v>40</v>
      </c>
      <c r="B44" s="14" t="s">
        <v>14</v>
      </c>
      <c r="C44" s="15" t="s">
        <v>146</v>
      </c>
      <c r="D44" s="15" t="s">
        <v>149</v>
      </c>
      <c r="E44" s="15" t="s">
        <v>150</v>
      </c>
      <c r="F44" s="16" t="s">
        <v>30</v>
      </c>
      <c r="G44" s="17"/>
    </row>
    <row r="45" customFormat="false" ht="23.85" hidden="false" customHeight="false" outlineLevel="0" collapsed="false">
      <c r="A45" s="14" t="n">
        <v>41</v>
      </c>
      <c r="B45" s="14" t="s">
        <v>14</v>
      </c>
      <c r="C45" s="15" t="s">
        <v>151</v>
      </c>
      <c r="D45" s="15" t="s">
        <v>152</v>
      </c>
      <c r="E45" s="15" t="s">
        <v>153</v>
      </c>
      <c r="F45" s="16" t="s">
        <v>30</v>
      </c>
      <c r="G45" s="17"/>
    </row>
    <row r="46" customFormat="false" ht="15" hidden="false" customHeight="false" outlineLevel="0" collapsed="false">
      <c r="A46" s="14" t="n">
        <v>42</v>
      </c>
      <c r="B46" s="14" t="s">
        <v>14</v>
      </c>
      <c r="C46" s="15" t="s">
        <v>154</v>
      </c>
      <c r="D46" s="15" t="s">
        <v>155</v>
      </c>
      <c r="E46" s="15" t="s">
        <v>156</v>
      </c>
      <c r="F46" s="16" t="s">
        <v>30</v>
      </c>
      <c r="G46" s="17"/>
    </row>
    <row r="47" customFormat="false" ht="23.85" hidden="false" customHeight="false" outlineLevel="0" collapsed="false">
      <c r="A47" s="14" t="n">
        <v>43</v>
      </c>
      <c r="B47" s="14" t="s">
        <v>14</v>
      </c>
      <c r="C47" s="15" t="s">
        <v>157</v>
      </c>
      <c r="D47" s="15" t="s">
        <v>158</v>
      </c>
      <c r="E47" s="15" t="s">
        <v>159</v>
      </c>
      <c r="F47" s="16" t="s">
        <v>30</v>
      </c>
      <c r="G47" s="17"/>
    </row>
    <row r="48" customFormat="false" ht="15" hidden="false" customHeight="false" outlineLevel="0" collapsed="false">
      <c r="A48" s="14" t="n">
        <v>44</v>
      </c>
      <c r="B48" s="14" t="s">
        <v>14</v>
      </c>
      <c r="C48" s="15" t="s">
        <v>128</v>
      </c>
      <c r="D48" s="15" t="s">
        <v>160</v>
      </c>
      <c r="E48" s="15" t="s">
        <v>161</v>
      </c>
      <c r="F48" s="16" t="s">
        <v>30</v>
      </c>
      <c r="G48" s="17"/>
    </row>
    <row r="49" customFormat="false" ht="15" hidden="false" customHeight="false" outlineLevel="0" collapsed="false">
      <c r="A49" s="14" t="n">
        <v>45</v>
      </c>
      <c r="B49" s="14" t="s">
        <v>15</v>
      </c>
      <c r="C49" s="15" t="s">
        <v>162</v>
      </c>
      <c r="D49" s="15" t="s">
        <v>163</v>
      </c>
      <c r="E49" s="15" t="s">
        <v>164</v>
      </c>
      <c r="F49" s="16" t="s">
        <v>30</v>
      </c>
      <c r="G49" s="17"/>
    </row>
    <row r="50" customFormat="false" ht="23.85" hidden="false" customHeight="false" outlineLevel="0" collapsed="false">
      <c r="A50" s="14" t="n">
        <v>46</v>
      </c>
      <c r="B50" s="14" t="s">
        <v>15</v>
      </c>
      <c r="C50" s="15" t="s">
        <v>162</v>
      </c>
      <c r="D50" s="15" t="s">
        <v>165</v>
      </c>
      <c r="E50" s="15" t="s">
        <v>166</v>
      </c>
      <c r="F50" s="16" t="s">
        <v>30</v>
      </c>
      <c r="G50" s="17"/>
    </row>
    <row r="51" customFormat="false" ht="15" hidden="false" customHeight="false" outlineLevel="0" collapsed="false">
      <c r="A51" s="14" t="n">
        <v>47</v>
      </c>
      <c r="B51" s="14" t="s">
        <v>15</v>
      </c>
      <c r="C51" s="15" t="s">
        <v>162</v>
      </c>
      <c r="D51" s="15" t="s">
        <v>167</v>
      </c>
      <c r="E51" s="15" t="s">
        <v>168</v>
      </c>
      <c r="F51" s="16" t="s">
        <v>30</v>
      </c>
      <c r="G51" s="17"/>
    </row>
    <row r="52" customFormat="false" ht="15" hidden="false" customHeight="false" outlineLevel="0" collapsed="false">
      <c r="A52" s="14" t="n">
        <v>48</v>
      </c>
      <c r="B52" s="14" t="s">
        <v>15</v>
      </c>
      <c r="C52" s="15" t="s">
        <v>162</v>
      </c>
      <c r="D52" s="15" t="s">
        <v>169</v>
      </c>
      <c r="E52" s="15" t="s">
        <v>170</v>
      </c>
      <c r="F52" s="16" t="s">
        <v>30</v>
      </c>
      <c r="G52" s="17"/>
    </row>
    <row r="53" customFormat="false" ht="15" hidden="false" customHeight="false" outlineLevel="0" collapsed="false">
      <c r="A53" s="14" t="n">
        <v>49</v>
      </c>
      <c r="B53" s="14" t="s">
        <v>15</v>
      </c>
      <c r="C53" s="15" t="s">
        <v>162</v>
      </c>
      <c r="D53" s="15" t="s">
        <v>171</v>
      </c>
      <c r="E53" s="15" t="s">
        <v>172</v>
      </c>
      <c r="F53" s="16" t="s">
        <v>30</v>
      </c>
      <c r="G53" s="17"/>
    </row>
    <row r="54" customFormat="false" ht="15" hidden="false" customHeight="false" outlineLevel="0" collapsed="false">
      <c r="A54" s="14" t="n">
        <v>50</v>
      </c>
      <c r="B54" s="14" t="s">
        <v>15</v>
      </c>
      <c r="C54" s="15" t="s">
        <v>173</v>
      </c>
      <c r="D54" s="15" t="s">
        <v>174</v>
      </c>
      <c r="E54" s="15" t="s">
        <v>175</v>
      </c>
      <c r="F54" s="16" t="s">
        <v>30</v>
      </c>
      <c r="G54" s="17"/>
    </row>
    <row r="55" customFormat="false" ht="15" hidden="false" customHeight="false" outlineLevel="0" collapsed="false">
      <c r="A55" s="14" t="n">
        <v>51</v>
      </c>
      <c r="B55" s="14" t="s">
        <v>15</v>
      </c>
      <c r="C55" s="15" t="s">
        <v>173</v>
      </c>
      <c r="D55" s="15" t="s">
        <v>176</v>
      </c>
      <c r="E55" s="15" t="s">
        <v>177</v>
      </c>
      <c r="F55" s="16" t="s">
        <v>30</v>
      </c>
      <c r="G55" s="17"/>
    </row>
    <row r="56" customFormat="false" ht="15" hidden="false" customHeight="false" outlineLevel="0" collapsed="false">
      <c r="A56" s="14" t="n">
        <v>52</v>
      </c>
      <c r="B56" s="14" t="s">
        <v>15</v>
      </c>
      <c r="C56" s="15" t="s">
        <v>173</v>
      </c>
      <c r="D56" s="15" t="s">
        <v>178</v>
      </c>
      <c r="E56" s="15" t="s">
        <v>179</v>
      </c>
      <c r="F56" s="16" t="s">
        <v>30</v>
      </c>
      <c r="G56" s="17"/>
    </row>
    <row r="57" customFormat="false" ht="15" hidden="false" customHeight="false" outlineLevel="0" collapsed="false">
      <c r="A57" s="14" t="n">
        <v>53</v>
      </c>
      <c r="B57" s="14" t="s">
        <v>15</v>
      </c>
      <c r="C57" s="15" t="s">
        <v>173</v>
      </c>
      <c r="D57" s="15" t="s">
        <v>180</v>
      </c>
      <c r="E57" s="15" t="s">
        <v>181</v>
      </c>
      <c r="F57" s="16" t="s">
        <v>30</v>
      </c>
      <c r="G57" s="17"/>
    </row>
    <row r="58" customFormat="false" ht="15" hidden="false" customHeight="false" outlineLevel="0" collapsed="false">
      <c r="A58" s="14" t="n">
        <v>54</v>
      </c>
      <c r="B58" s="14" t="s">
        <v>15</v>
      </c>
      <c r="C58" s="15" t="s">
        <v>173</v>
      </c>
      <c r="D58" s="15" t="s">
        <v>182</v>
      </c>
      <c r="E58" s="15" t="s">
        <v>183</v>
      </c>
      <c r="F58" s="16" t="s">
        <v>30</v>
      </c>
      <c r="G58" s="17"/>
    </row>
    <row r="59" customFormat="false" ht="15" hidden="false" customHeight="false" outlineLevel="0" collapsed="false">
      <c r="A59" s="14" t="n">
        <v>55</v>
      </c>
      <c r="B59" s="14" t="s">
        <v>15</v>
      </c>
      <c r="C59" s="15" t="s">
        <v>184</v>
      </c>
      <c r="D59" s="15" t="s">
        <v>185</v>
      </c>
      <c r="E59" s="15" t="s">
        <v>186</v>
      </c>
      <c r="F59" s="16" t="s">
        <v>30</v>
      </c>
      <c r="G59" s="17"/>
    </row>
    <row r="60" customFormat="false" ht="15" hidden="false" customHeight="false" outlineLevel="0" collapsed="false">
      <c r="A60" s="14" t="n">
        <v>56</v>
      </c>
      <c r="B60" s="14" t="s">
        <v>15</v>
      </c>
      <c r="C60" s="15" t="s">
        <v>184</v>
      </c>
      <c r="D60" s="15" t="s">
        <v>187</v>
      </c>
      <c r="E60" s="15" t="s">
        <v>188</v>
      </c>
      <c r="F60" s="16" t="s">
        <v>30</v>
      </c>
      <c r="G60" s="17"/>
    </row>
    <row r="61" customFormat="false" ht="15" hidden="false" customHeight="false" outlineLevel="0" collapsed="false">
      <c r="A61" s="14" t="n">
        <v>57</v>
      </c>
      <c r="B61" s="14" t="s">
        <v>16</v>
      </c>
      <c r="C61" s="15" t="s">
        <v>189</v>
      </c>
      <c r="D61" s="15" t="s">
        <v>190</v>
      </c>
      <c r="E61" s="15" t="s">
        <v>191</v>
      </c>
      <c r="F61" s="16" t="s">
        <v>30</v>
      </c>
      <c r="G61" s="17"/>
    </row>
    <row r="62" customFormat="false" ht="15" hidden="false" customHeight="false" outlineLevel="0" collapsed="false">
      <c r="A62" s="14" t="n">
        <v>58</v>
      </c>
      <c r="B62" s="14" t="s">
        <v>16</v>
      </c>
      <c r="C62" s="15" t="s">
        <v>189</v>
      </c>
      <c r="D62" s="15" t="s">
        <v>192</v>
      </c>
      <c r="E62" s="15" t="s">
        <v>193</v>
      </c>
      <c r="F62" s="16" t="s">
        <v>30</v>
      </c>
      <c r="G62" s="17"/>
    </row>
    <row r="63" customFormat="false" ht="15" hidden="false" customHeight="false" outlineLevel="0" collapsed="false">
      <c r="A63" s="14" t="n">
        <v>59</v>
      </c>
      <c r="B63" s="14" t="s">
        <v>16</v>
      </c>
      <c r="C63" s="15" t="s">
        <v>194</v>
      </c>
      <c r="D63" s="15" t="s">
        <v>195</v>
      </c>
      <c r="E63" s="15" t="s">
        <v>196</v>
      </c>
      <c r="F63" s="16" t="s">
        <v>30</v>
      </c>
      <c r="G63" s="17"/>
    </row>
    <row r="64" customFormat="false" ht="15" hidden="false" customHeight="false" outlineLevel="0" collapsed="false">
      <c r="A64" s="14" t="n">
        <v>60</v>
      </c>
      <c r="B64" s="14" t="s">
        <v>16</v>
      </c>
      <c r="C64" s="15" t="s">
        <v>194</v>
      </c>
      <c r="D64" s="15" t="s">
        <v>197</v>
      </c>
      <c r="E64" s="15" t="s">
        <v>198</v>
      </c>
      <c r="F64" s="16" t="s">
        <v>30</v>
      </c>
      <c r="G64" s="17"/>
    </row>
    <row r="65" customFormat="false" ht="15" hidden="false" customHeight="false" outlineLevel="0" collapsed="false">
      <c r="A65" s="14" t="n">
        <v>61</v>
      </c>
      <c r="B65" s="14" t="s">
        <v>16</v>
      </c>
      <c r="C65" s="15" t="s">
        <v>199</v>
      </c>
      <c r="D65" s="15" t="s">
        <v>200</v>
      </c>
      <c r="E65" s="15" t="s">
        <v>201</v>
      </c>
      <c r="F65" s="16" t="s">
        <v>30</v>
      </c>
      <c r="G65" s="17"/>
    </row>
    <row r="66" customFormat="false" ht="15" hidden="false" customHeight="false" outlineLevel="0" collapsed="false">
      <c r="A66" s="14" t="n">
        <v>62</v>
      </c>
      <c r="B66" s="14" t="s">
        <v>16</v>
      </c>
      <c r="C66" s="15" t="s">
        <v>128</v>
      </c>
      <c r="D66" s="15" t="s">
        <v>202</v>
      </c>
      <c r="E66" s="15" t="s">
        <v>203</v>
      </c>
      <c r="F66" s="16" t="s">
        <v>30</v>
      </c>
      <c r="G66" s="17"/>
    </row>
    <row r="67" customFormat="false" ht="23.85" hidden="false" customHeight="false" outlineLevel="0" collapsed="false">
      <c r="A67" s="14" t="n">
        <v>63</v>
      </c>
      <c r="B67" s="14" t="s">
        <v>16</v>
      </c>
      <c r="C67" s="15" t="s">
        <v>128</v>
      </c>
      <c r="D67" s="15" t="s">
        <v>204</v>
      </c>
      <c r="E67" s="15" t="s">
        <v>205</v>
      </c>
      <c r="F67" s="16" t="s">
        <v>30</v>
      </c>
      <c r="G67" s="17"/>
    </row>
    <row r="68" customFormat="false" ht="15" hidden="false" customHeight="false" outlineLevel="0" collapsed="false">
      <c r="A68" s="14" t="n">
        <v>64</v>
      </c>
      <c r="B68" s="14" t="s">
        <v>16</v>
      </c>
      <c r="C68" s="15" t="s">
        <v>128</v>
      </c>
      <c r="D68" s="15" t="s">
        <v>206</v>
      </c>
      <c r="E68" s="15" t="s">
        <v>207</v>
      </c>
      <c r="F68" s="16" t="s">
        <v>30</v>
      </c>
      <c r="G68" s="17"/>
    </row>
    <row r="69" customFormat="false" ht="15" hidden="false" customHeight="false" outlineLevel="0" collapsed="false">
      <c r="A69" s="14" t="n">
        <v>65</v>
      </c>
      <c r="B69" s="14" t="s">
        <v>16</v>
      </c>
      <c r="C69" s="15" t="s">
        <v>128</v>
      </c>
      <c r="D69" s="15" t="s">
        <v>208</v>
      </c>
      <c r="E69" s="15" t="s">
        <v>209</v>
      </c>
      <c r="F69" s="16" t="s">
        <v>30</v>
      </c>
      <c r="G69" s="17"/>
    </row>
    <row r="70" customFormat="false" ht="15" hidden="false" customHeight="false" outlineLevel="0" collapsed="false">
      <c r="A70" s="14" t="n">
        <v>66</v>
      </c>
      <c r="B70" s="14" t="s">
        <v>16</v>
      </c>
      <c r="C70" s="15" t="s">
        <v>128</v>
      </c>
      <c r="D70" s="15" t="s">
        <v>210</v>
      </c>
      <c r="E70" s="15" t="s">
        <v>211</v>
      </c>
      <c r="F70" s="16" t="s">
        <v>30</v>
      </c>
      <c r="G70" s="17"/>
    </row>
    <row r="71" customFormat="false" ht="15" hidden="false" customHeight="false" outlineLevel="0" collapsed="false">
      <c r="A71" s="14" t="n">
        <v>67</v>
      </c>
      <c r="B71" s="14" t="s">
        <v>16</v>
      </c>
      <c r="C71" s="15" t="s">
        <v>212</v>
      </c>
      <c r="D71" s="15" t="s">
        <v>213</v>
      </c>
      <c r="E71" s="15" t="s">
        <v>214</v>
      </c>
      <c r="F71" s="16" t="s">
        <v>30</v>
      </c>
      <c r="G71" s="17"/>
    </row>
    <row r="72" customFormat="false" ht="23.85" hidden="false" customHeight="false" outlineLevel="0" collapsed="false">
      <c r="A72" s="14" t="n">
        <v>68</v>
      </c>
      <c r="B72" s="14" t="s">
        <v>17</v>
      </c>
      <c r="C72" s="15" t="s">
        <v>215</v>
      </c>
      <c r="D72" s="15" t="s">
        <v>216</v>
      </c>
      <c r="E72" s="15" t="s">
        <v>217</v>
      </c>
      <c r="F72" s="16" t="s">
        <v>30</v>
      </c>
      <c r="G72" s="17"/>
    </row>
    <row r="73" customFormat="false" ht="15" hidden="false" customHeight="false" outlineLevel="0" collapsed="false">
      <c r="A73" s="14" t="n">
        <v>69</v>
      </c>
      <c r="B73" s="14" t="s">
        <v>17</v>
      </c>
      <c r="C73" s="15" t="s">
        <v>215</v>
      </c>
      <c r="D73" s="15" t="s">
        <v>218</v>
      </c>
      <c r="E73" s="15" t="s">
        <v>219</v>
      </c>
      <c r="F73" s="16" t="s">
        <v>30</v>
      </c>
      <c r="G73" s="17"/>
    </row>
    <row r="74" customFormat="false" ht="23.85" hidden="false" customHeight="false" outlineLevel="0" collapsed="false">
      <c r="A74" s="14" t="n">
        <v>70</v>
      </c>
      <c r="B74" s="14" t="s">
        <v>17</v>
      </c>
      <c r="C74" s="15" t="s">
        <v>215</v>
      </c>
      <c r="D74" s="15" t="s">
        <v>220</v>
      </c>
      <c r="E74" s="15" t="s">
        <v>221</v>
      </c>
      <c r="F74" s="16" t="s">
        <v>30</v>
      </c>
      <c r="G74" s="17"/>
    </row>
  </sheetData>
  <conditionalFormatting sqref="F5:F74">
    <cfRule type="cellIs" priority="2" operator="equal" aboveAverage="0" equalAverage="0" bottom="0" percent="0" rank="0" text="" dxfId="0">
      <formula>"Yes"</formula>
    </cfRule>
  </conditionalFormatting>
  <dataValidations count="1">
    <dataValidation allowBlank="false" errorStyle="stop" operator="between" showDropDown="false" showErrorMessage="false" showInputMessage="false" sqref="F5:F7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3" min="3" style="0" width="62"/>
    <col collapsed="false" customWidth="true" hidden="false" outlineLevel="0" max="4" min="4" style="0" width="14"/>
  </cols>
  <sheetData>
    <row r="1" customFormat="false" ht="19.7" hidden="false" customHeight="false" outlineLevel="0" collapsed="false">
      <c r="A1" s="18" t="s">
        <v>222</v>
      </c>
    </row>
    <row r="3" customFormat="false" ht="15" hidden="false" customHeight="false" outlineLevel="0" collapsed="false">
      <c r="A3" s="2" t="s">
        <v>223</v>
      </c>
    </row>
    <row r="5" customFormat="false" ht="15" hidden="false" customHeight="false" outlineLevel="0" collapsed="false">
      <c r="A5" s="7" t="s">
        <v>224</v>
      </c>
    </row>
    <row r="7" customFormat="false" ht="15" hidden="false" customHeight="false" outlineLevel="0" collapsed="false">
      <c r="A7" s="19" t="s">
        <v>225</v>
      </c>
    </row>
    <row r="8" customFormat="false" ht="15" hidden="false" customHeight="false" outlineLevel="0" collapsed="false">
      <c r="A8" s="19" t="s">
        <v>226</v>
      </c>
    </row>
    <row r="9" customFormat="false" ht="15" hidden="false" customHeight="false" outlineLevel="0" collapsed="false">
      <c r="A9" s="19" t="s">
        <v>227</v>
      </c>
    </row>
    <row r="10" customFormat="false" ht="15" hidden="false" customHeight="false" outlineLevel="0" collapsed="false">
      <c r="A10" s="19" t="s">
        <v>228</v>
      </c>
    </row>
    <row r="11" customFormat="false" ht="15" hidden="false" customHeight="false" outlineLevel="0" collapsed="false">
      <c r="A11" s="19" t="s">
        <v>229</v>
      </c>
    </row>
    <row r="12" customFormat="false" ht="15" hidden="false" customHeight="false" outlineLevel="0" collapsed="false">
      <c r="A12" s="2" t="s">
        <v>230</v>
      </c>
    </row>
    <row r="14" customFormat="false" ht="15" hidden="false" customHeight="false" outlineLevel="0" collapsed="false">
      <c r="A14" s="7" t="s">
        <v>231</v>
      </c>
    </row>
    <row r="15" customFormat="false" ht="15" hidden="false" customHeight="false" outlineLevel="0" collapsed="false">
      <c r="A15" s="2" t="s">
        <v>232</v>
      </c>
    </row>
    <row r="17" customFormat="false" ht="15" hidden="false" customHeight="false" outlineLevel="0" collapsed="false">
      <c r="A17" s="7" t="s">
        <v>233</v>
      </c>
    </row>
    <row r="19" customFormat="false" ht="31.5" hidden="false" customHeight="true" outlineLevel="0" collapsed="false">
      <c r="A19" s="3" t="s">
        <v>234</v>
      </c>
      <c r="B19" s="3" t="s">
        <v>235</v>
      </c>
      <c r="C19" s="3" t="s">
        <v>236</v>
      </c>
      <c r="D19" s="3" t="s">
        <v>237</v>
      </c>
    </row>
    <row r="20" customFormat="false" ht="15" hidden="false" customHeight="false" outlineLevel="0" collapsed="false">
      <c r="A20" s="14" t="n">
        <v>1</v>
      </c>
      <c r="B20" s="15" t="s">
        <v>238</v>
      </c>
      <c r="C20" s="15" t="s">
        <v>239</v>
      </c>
      <c r="D20" s="14" t="s">
        <v>240</v>
      </c>
    </row>
    <row r="21" customFormat="false" ht="15" hidden="false" customHeight="false" outlineLevel="0" collapsed="false">
      <c r="A21" s="14" t="n">
        <v>2</v>
      </c>
      <c r="B21" s="15" t="s">
        <v>241</v>
      </c>
      <c r="C21" s="15" t="s">
        <v>242</v>
      </c>
      <c r="D21" s="14" t="s">
        <v>243</v>
      </c>
    </row>
    <row r="22" customFormat="false" ht="15" hidden="false" customHeight="false" outlineLevel="0" collapsed="false">
      <c r="A22" s="14" t="n">
        <v>3</v>
      </c>
      <c r="B22" s="15" t="s">
        <v>244</v>
      </c>
      <c r="C22" s="15" t="s">
        <v>245</v>
      </c>
      <c r="D22" s="14" t="s">
        <v>246</v>
      </c>
    </row>
    <row r="23" customFormat="false" ht="15" hidden="false" customHeight="false" outlineLevel="0" collapsed="false">
      <c r="A23" s="14" t="n">
        <v>4</v>
      </c>
      <c r="B23" s="15" t="s">
        <v>247</v>
      </c>
      <c r="C23" s="15" t="s">
        <v>248</v>
      </c>
      <c r="D23" s="14" t="s">
        <v>249</v>
      </c>
    </row>
    <row r="24" customFormat="false" ht="15" hidden="false" customHeight="false" outlineLevel="0" collapsed="false">
      <c r="A24" s="14" t="n">
        <v>5</v>
      </c>
      <c r="B24" s="15" t="s">
        <v>250</v>
      </c>
      <c r="C24" s="15" t="s">
        <v>251</v>
      </c>
      <c r="D24" s="14" t="s">
        <v>252</v>
      </c>
    </row>
    <row r="25" customFormat="false" ht="15" hidden="false" customHeight="false" outlineLevel="0" collapsed="false">
      <c r="A25" s="14" t="n">
        <v>6</v>
      </c>
      <c r="B25" s="15" t="s">
        <v>253</v>
      </c>
      <c r="C25" s="15" t="s">
        <v>254</v>
      </c>
      <c r="D25" s="14" t="s">
        <v>255</v>
      </c>
    </row>
    <row r="27" customFormat="false" ht="15" hidden="false" customHeight="false" outlineLevel="0" collapsed="false">
      <c r="A27" s="7" t="s">
        <v>256</v>
      </c>
    </row>
    <row r="29" customFormat="false" ht="31.5" hidden="false" customHeight="true" outlineLevel="0" collapsed="false">
      <c r="A29" s="3" t="s">
        <v>234</v>
      </c>
      <c r="B29" s="3" t="s">
        <v>235</v>
      </c>
      <c r="C29" s="3" t="s">
        <v>236</v>
      </c>
      <c r="D29" s="3" t="s">
        <v>237</v>
      </c>
    </row>
    <row r="30" customFormat="false" ht="15" hidden="false" customHeight="false" outlineLevel="0" collapsed="false">
      <c r="A30" s="14" t="n">
        <v>7</v>
      </c>
      <c r="B30" s="15" t="s">
        <v>257</v>
      </c>
      <c r="C30" s="15" t="s">
        <v>258</v>
      </c>
      <c r="D30" s="14" t="s">
        <v>259</v>
      </c>
    </row>
    <row r="31" customFormat="false" ht="15" hidden="false" customHeight="false" outlineLevel="0" collapsed="false">
      <c r="A31" s="14" t="n">
        <v>8</v>
      </c>
      <c r="B31" s="15" t="s">
        <v>260</v>
      </c>
      <c r="C31" s="15" t="s">
        <v>261</v>
      </c>
      <c r="D31" s="14" t="s">
        <v>262</v>
      </c>
    </row>
    <row r="32" customFormat="false" ht="15" hidden="false" customHeight="false" outlineLevel="0" collapsed="false">
      <c r="A32" s="14" t="n">
        <v>9</v>
      </c>
      <c r="B32" s="15" t="s">
        <v>263</v>
      </c>
      <c r="C32" s="15" t="s">
        <v>264</v>
      </c>
      <c r="D32" s="14" t="s">
        <v>265</v>
      </c>
    </row>
    <row r="33" customFormat="false" ht="15" hidden="false" customHeight="false" outlineLevel="0" collapsed="false">
      <c r="A33" s="14" t="n">
        <v>10</v>
      </c>
      <c r="B33" s="15" t="s">
        <v>266</v>
      </c>
      <c r="C33" s="15" t="s">
        <v>267</v>
      </c>
      <c r="D33" s="14" t="s">
        <v>268</v>
      </c>
    </row>
    <row r="34" customFormat="false" ht="15" hidden="false" customHeight="false" outlineLevel="0" collapsed="false">
      <c r="A34" s="14" t="n">
        <v>11</v>
      </c>
      <c r="B34" s="15" t="s">
        <v>269</v>
      </c>
      <c r="C34" s="15" t="s">
        <v>270</v>
      </c>
      <c r="D34" s="14" t="s">
        <v>271</v>
      </c>
    </row>
    <row r="35" customFormat="false" ht="15" hidden="false" customHeight="false" outlineLevel="0" collapsed="false">
      <c r="A35" s="14" t="n">
        <v>12</v>
      </c>
      <c r="B35" s="15" t="s">
        <v>272</v>
      </c>
      <c r="C35" s="15" t="s">
        <v>273</v>
      </c>
      <c r="D35" s="14" t="s">
        <v>274</v>
      </c>
    </row>
    <row r="37" customFormat="false" ht="15" hidden="false" customHeight="false" outlineLevel="0" collapsed="false">
      <c r="A37" s="7" t="s">
        <v>275</v>
      </c>
    </row>
    <row r="39" customFormat="false" ht="31.5" hidden="false" customHeight="true" outlineLevel="0" collapsed="false">
      <c r="A39" s="3" t="s">
        <v>234</v>
      </c>
      <c r="B39" s="3" t="s">
        <v>235</v>
      </c>
      <c r="C39" s="3" t="s">
        <v>236</v>
      </c>
      <c r="D39" s="3" t="s">
        <v>237</v>
      </c>
    </row>
    <row r="40" customFormat="false" ht="15" hidden="false" customHeight="false" outlineLevel="0" collapsed="false">
      <c r="A40" s="14" t="n">
        <v>13</v>
      </c>
      <c r="B40" s="15" t="s">
        <v>276</v>
      </c>
      <c r="C40" s="15" t="s">
        <v>277</v>
      </c>
      <c r="D40" s="14" t="s">
        <v>278</v>
      </c>
    </row>
    <row r="41" customFormat="false" ht="15" hidden="false" customHeight="false" outlineLevel="0" collapsed="false">
      <c r="A41" s="14" t="n">
        <v>14</v>
      </c>
      <c r="B41" s="15" t="s">
        <v>279</v>
      </c>
      <c r="C41" s="15" t="s">
        <v>280</v>
      </c>
      <c r="D41" s="14" t="s">
        <v>281</v>
      </c>
    </row>
    <row r="42" customFormat="false" ht="15" hidden="false" customHeight="false" outlineLevel="0" collapsed="false">
      <c r="A42" s="14" t="n">
        <v>15</v>
      </c>
      <c r="B42" s="15" t="s">
        <v>282</v>
      </c>
      <c r="C42" s="15" t="s">
        <v>283</v>
      </c>
      <c r="D42" s="14" t="s">
        <v>284</v>
      </c>
    </row>
    <row r="43" customFormat="false" ht="15" hidden="false" customHeight="false" outlineLevel="0" collapsed="false">
      <c r="A43" s="14" t="n">
        <v>16</v>
      </c>
      <c r="B43" s="15" t="s">
        <v>285</v>
      </c>
      <c r="C43" s="15" t="s">
        <v>286</v>
      </c>
      <c r="D43" s="14" t="s">
        <v>287</v>
      </c>
    </row>
    <row r="44" customFormat="false" ht="15" hidden="false" customHeight="false" outlineLevel="0" collapsed="false">
      <c r="A44" s="14" t="n">
        <v>17</v>
      </c>
      <c r="B44" s="15" t="s">
        <v>288</v>
      </c>
      <c r="C44" s="15" t="s">
        <v>289</v>
      </c>
      <c r="D44" s="14" t="s">
        <v>290</v>
      </c>
    </row>
    <row r="45" customFormat="false" ht="15" hidden="false" customHeight="false" outlineLevel="0" collapsed="false">
      <c r="A45" s="14" t="n">
        <v>18</v>
      </c>
      <c r="B45" s="15" t="s">
        <v>291</v>
      </c>
      <c r="C45" s="15" t="s">
        <v>292</v>
      </c>
      <c r="D45" s="14" t="s">
        <v>293</v>
      </c>
    </row>
    <row r="47" customFormat="false" ht="15" hidden="false" customHeight="false" outlineLevel="0" collapsed="false">
      <c r="A47" s="7" t="s">
        <v>294</v>
      </c>
    </row>
    <row r="49" customFormat="false" ht="31.5" hidden="false" customHeight="true" outlineLevel="0" collapsed="false">
      <c r="A49" s="3" t="s">
        <v>234</v>
      </c>
      <c r="B49" s="3" t="s">
        <v>235</v>
      </c>
      <c r="C49" s="3" t="s">
        <v>236</v>
      </c>
      <c r="D49" s="3" t="s">
        <v>237</v>
      </c>
    </row>
    <row r="50" customFormat="false" ht="15" hidden="false" customHeight="false" outlineLevel="0" collapsed="false">
      <c r="A50" s="14" t="n">
        <v>19</v>
      </c>
      <c r="B50" s="15" t="s">
        <v>295</v>
      </c>
      <c r="C50" s="15" t="s">
        <v>296</v>
      </c>
      <c r="D50" s="14" t="s">
        <v>297</v>
      </c>
    </row>
    <row r="51" customFormat="false" ht="15" hidden="false" customHeight="false" outlineLevel="0" collapsed="false">
      <c r="A51" s="14" t="n">
        <v>20</v>
      </c>
      <c r="B51" s="15" t="s">
        <v>298</v>
      </c>
      <c r="C51" s="15" t="s">
        <v>299</v>
      </c>
      <c r="D51" s="14" t="s">
        <v>300</v>
      </c>
    </row>
    <row r="52" customFormat="false" ht="15" hidden="false" customHeight="false" outlineLevel="0" collapsed="false">
      <c r="A52" s="14" t="n">
        <v>21</v>
      </c>
      <c r="B52" s="15" t="s">
        <v>301</v>
      </c>
      <c r="C52" s="15" t="s">
        <v>302</v>
      </c>
      <c r="D52" s="14" t="s">
        <v>303</v>
      </c>
    </row>
    <row r="53" customFormat="false" ht="15" hidden="false" customHeight="false" outlineLevel="0" collapsed="false">
      <c r="A53" s="14" t="n">
        <v>22</v>
      </c>
      <c r="B53" s="15" t="s">
        <v>304</v>
      </c>
      <c r="C53" s="15" t="s">
        <v>305</v>
      </c>
      <c r="D53" s="14" t="s">
        <v>306</v>
      </c>
    </row>
    <row r="54" customFormat="false" ht="15" hidden="false" customHeight="false" outlineLevel="0" collapsed="false">
      <c r="A54" s="14" t="n">
        <v>23</v>
      </c>
      <c r="B54" s="15" t="s">
        <v>307</v>
      </c>
      <c r="C54" s="15" t="s">
        <v>308</v>
      </c>
      <c r="D54" s="14" t="s">
        <v>309</v>
      </c>
    </row>
    <row r="55" customFormat="false" ht="15" hidden="false" customHeight="false" outlineLevel="0" collapsed="false">
      <c r="A55" s="14" t="n">
        <v>24</v>
      </c>
      <c r="B55" s="15" t="s">
        <v>310</v>
      </c>
      <c r="C55" s="15" t="s">
        <v>311</v>
      </c>
      <c r="D55" s="14" t="s">
        <v>312</v>
      </c>
    </row>
    <row r="57" customFormat="false" ht="15" hidden="false" customHeight="false" outlineLevel="0" collapsed="false">
      <c r="A57" s="7" t="s">
        <v>313</v>
      </c>
    </row>
    <row r="59" customFormat="false" ht="31.5" hidden="false" customHeight="true" outlineLevel="0" collapsed="false">
      <c r="A59" s="3" t="s">
        <v>234</v>
      </c>
      <c r="B59" s="3" t="s">
        <v>235</v>
      </c>
      <c r="C59" s="3" t="s">
        <v>236</v>
      </c>
      <c r="D59" s="3" t="s">
        <v>237</v>
      </c>
    </row>
    <row r="60" customFormat="false" ht="15" hidden="false" customHeight="false" outlineLevel="0" collapsed="false">
      <c r="A60" s="14" t="n">
        <v>25</v>
      </c>
      <c r="B60" s="15" t="s">
        <v>314</v>
      </c>
      <c r="C60" s="15" t="s">
        <v>315</v>
      </c>
      <c r="D60" s="14" t="s">
        <v>316</v>
      </c>
    </row>
    <row r="61" customFormat="false" ht="15" hidden="false" customHeight="false" outlineLevel="0" collapsed="false">
      <c r="A61" s="14" t="n">
        <v>26</v>
      </c>
      <c r="B61" s="15" t="s">
        <v>317</v>
      </c>
      <c r="C61" s="15" t="s">
        <v>318</v>
      </c>
      <c r="D61" s="14" t="s">
        <v>319</v>
      </c>
    </row>
    <row r="62" customFormat="false" ht="15" hidden="false" customHeight="false" outlineLevel="0" collapsed="false">
      <c r="A62" s="14" t="n">
        <v>27</v>
      </c>
      <c r="B62" s="15" t="s">
        <v>320</v>
      </c>
      <c r="C62" s="15" t="s">
        <v>321</v>
      </c>
      <c r="D62" s="14" t="s">
        <v>322</v>
      </c>
    </row>
    <row r="63" customFormat="false" ht="15" hidden="false" customHeight="false" outlineLevel="0" collapsed="false">
      <c r="A63" s="14" t="n">
        <v>28</v>
      </c>
      <c r="B63" s="15" t="s">
        <v>323</v>
      </c>
      <c r="C63" s="15" t="s">
        <v>324</v>
      </c>
      <c r="D63" s="14" t="s">
        <v>325</v>
      </c>
    </row>
    <row r="64" customFormat="false" ht="15" hidden="false" customHeight="false" outlineLevel="0" collapsed="false">
      <c r="A64" s="14" t="n">
        <v>29</v>
      </c>
      <c r="B64" s="15" t="s">
        <v>326</v>
      </c>
      <c r="C64" s="15" t="s">
        <v>327</v>
      </c>
      <c r="D64" s="14" t="s">
        <v>328</v>
      </c>
    </row>
    <row r="65" customFormat="false" ht="15" hidden="false" customHeight="false" outlineLevel="0" collapsed="false">
      <c r="A65" s="14" t="n">
        <v>30</v>
      </c>
      <c r="B65" s="15" t="s">
        <v>329</v>
      </c>
      <c r="C65" s="15" t="s">
        <v>330</v>
      </c>
      <c r="D65" s="14" t="s">
        <v>331</v>
      </c>
    </row>
    <row r="67" customFormat="false" ht="15" hidden="false" customHeight="false" outlineLevel="0" collapsed="false">
      <c r="A67" s="7" t="s">
        <v>332</v>
      </c>
    </row>
    <row r="69" customFormat="false" ht="31.5" hidden="false" customHeight="true" outlineLevel="0" collapsed="false">
      <c r="A69" s="3" t="s">
        <v>234</v>
      </c>
      <c r="B69" s="3" t="s">
        <v>235</v>
      </c>
      <c r="C69" s="3" t="s">
        <v>236</v>
      </c>
      <c r="D69" s="3" t="s">
        <v>237</v>
      </c>
    </row>
    <row r="70" customFormat="false" ht="15" hidden="false" customHeight="false" outlineLevel="0" collapsed="false">
      <c r="A70" s="14" t="n">
        <v>31</v>
      </c>
      <c r="B70" s="15" t="s">
        <v>333</v>
      </c>
      <c r="C70" s="15" t="s">
        <v>334</v>
      </c>
      <c r="D70" s="14" t="s">
        <v>335</v>
      </c>
    </row>
    <row r="71" customFormat="false" ht="15" hidden="false" customHeight="false" outlineLevel="0" collapsed="false">
      <c r="A71" s="14" t="n">
        <v>32</v>
      </c>
      <c r="B71" s="15" t="s">
        <v>336</v>
      </c>
      <c r="C71" s="15" t="s">
        <v>337</v>
      </c>
      <c r="D71" s="14" t="s">
        <v>338</v>
      </c>
    </row>
    <row r="72" customFormat="false" ht="15" hidden="false" customHeight="false" outlineLevel="0" collapsed="false">
      <c r="A72" s="14" t="n">
        <v>33</v>
      </c>
      <c r="B72" s="15" t="s">
        <v>339</v>
      </c>
      <c r="C72" s="15" t="s">
        <v>340</v>
      </c>
      <c r="D72" s="14" t="s">
        <v>341</v>
      </c>
    </row>
    <row r="74" customFormat="false" ht="15" hidden="false" customHeight="false" outlineLevel="0" collapsed="false">
      <c r="A74" s="7" t="s">
        <v>342</v>
      </c>
    </row>
    <row r="76" customFormat="false" ht="15" hidden="false" customHeight="false" outlineLevel="0" collapsed="false">
      <c r="A76" s="2" t="s">
        <v>343</v>
      </c>
    </row>
    <row r="77" customFormat="false" ht="15" hidden="false" customHeight="false" outlineLevel="0" collapsed="false">
      <c r="A77" s="2" t="s">
        <v>344</v>
      </c>
    </row>
    <row r="78" customFormat="false" ht="15" hidden="false" customHeight="false" outlineLevel="0" collapsed="false">
      <c r="A78" s="2" t="s">
        <v>345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52"/>
    <col collapsed="false" customWidth="true" hidden="false" outlineLevel="0" max="4" min="4" style="0" width="28"/>
    <col collapsed="false" customWidth="true" hidden="false" outlineLevel="0" max="5" min="5" style="0" width="11"/>
    <col collapsed="false" customWidth="true" hidden="false" outlineLevel="0" max="6" min="6" style="0" width="54"/>
    <col collapsed="false" customWidth="true" hidden="false" outlineLevel="0" max="7" min="7" style="0" width="14"/>
    <col collapsed="false" customWidth="true" hidden="false" outlineLevel="0" max="8" min="8" style="0" width="30"/>
  </cols>
  <sheetData>
    <row r="1" customFormat="false" ht="17.35" hidden="false" customHeight="false" outlineLevel="0" collapsed="false">
      <c r="A1" s="1" t="s">
        <v>346</v>
      </c>
    </row>
    <row r="2" customFormat="false" ht="15" hidden="false" customHeight="false" outlineLevel="0" collapsed="false">
      <c r="A2" s="2" t="s">
        <v>347</v>
      </c>
    </row>
    <row r="4" customFormat="false" ht="31.5" hidden="false" customHeight="true" outlineLevel="0" collapsed="false">
      <c r="A4" s="3" t="s">
        <v>23</v>
      </c>
      <c r="B4" s="3" t="s">
        <v>348</v>
      </c>
      <c r="C4" s="3" t="s">
        <v>349</v>
      </c>
      <c r="D4" s="3" t="s">
        <v>350</v>
      </c>
      <c r="E4" s="3" t="s">
        <v>351</v>
      </c>
      <c r="F4" s="3" t="s">
        <v>352</v>
      </c>
      <c r="G4" s="3" t="s">
        <v>353</v>
      </c>
      <c r="H4" s="3" t="s">
        <v>27</v>
      </c>
    </row>
    <row r="5" customFormat="false" ht="23.85" hidden="false" customHeight="false" outlineLevel="0" collapsed="false">
      <c r="A5" s="14" t="n">
        <v>1</v>
      </c>
      <c r="B5" s="15" t="s">
        <v>354</v>
      </c>
      <c r="C5" s="15" t="s">
        <v>355</v>
      </c>
      <c r="D5" s="15" t="s">
        <v>356</v>
      </c>
      <c r="E5" s="15" t="s">
        <v>12</v>
      </c>
      <c r="F5" s="15" t="s">
        <v>357</v>
      </c>
      <c r="G5" s="16" t="s">
        <v>30</v>
      </c>
      <c r="H5" s="17"/>
    </row>
    <row r="6" customFormat="false" ht="15" hidden="false" customHeight="false" outlineLevel="0" collapsed="false">
      <c r="A6" s="14" t="n">
        <v>2</v>
      </c>
      <c r="B6" s="15" t="s">
        <v>354</v>
      </c>
      <c r="C6" s="15" t="s">
        <v>358</v>
      </c>
      <c r="D6" s="15" t="s">
        <v>359</v>
      </c>
      <c r="E6" s="15" t="s">
        <v>12</v>
      </c>
      <c r="F6" s="15" t="s">
        <v>360</v>
      </c>
      <c r="G6" s="16" t="s">
        <v>30</v>
      </c>
      <c r="H6" s="17"/>
    </row>
    <row r="7" customFormat="false" ht="15" hidden="false" customHeight="false" outlineLevel="0" collapsed="false">
      <c r="A7" s="14" t="n">
        <v>3</v>
      </c>
      <c r="B7" s="15" t="s">
        <v>354</v>
      </c>
      <c r="C7" s="15" t="s">
        <v>361</v>
      </c>
      <c r="D7" s="15" t="s">
        <v>362</v>
      </c>
      <c r="E7" s="15" t="s">
        <v>12</v>
      </c>
      <c r="F7" s="15" t="s">
        <v>363</v>
      </c>
      <c r="G7" s="16" t="s">
        <v>30</v>
      </c>
      <c r="H7" s="17"/>
    </row>
    <row r="8" customFormat="false" ht="15" hidden="false" customHeight="false" outlineLevel="0" collapsed="false">
      <c r="A8" s="14" t="n">
        <v>4</v>
      </c>
      <c r="B8" s="15" t="s">
        <v>354</v>
      </c>
      <c r="C8" s="15" t="s">
        <v>364</v>
      </c>
      <c r="D8" s="15" t="s">
        <v>365</v>
      </c>
      <c r="E8" s="15" t="s">
        <v>12</v>
      </c>
      <c r="F8" s="15" t="s">
        <v>366</v>
      </c>
      <c r="G8" s="16" t="s">
        <v>30</v>
      </c>
      <c r="H8" s="17"/>
    </row>
    <row r="9" customFormat="false" ht="15" hidden="false" customHeight="false" outlineLevel="0" collapsed="false">
      <c r="A9" s="14" t="n">
        <v>5</v>
      </c>
      <c r="B9" s="15" t="s">
        <v>354</v>
      </c>
      <c r="C9" s="15" t="s">
        <v>367</v>
      </c>
      <c r="D9" s="15" t="s">
        <v>368</v>
      </c>
      <c r="E9" s="15" t="s">
        <v>12</v>
      </c>
      <c r="F9" s="15" t="s">
        <v>369</v>
      </c>
      <c r="G9" s="16" t="s">
        <v>30</v>
      </c>
      <c r="H9" s="17"/>
    </row>
    <row r="10" customFormat="false" ht="15" hidden="false" customHeight="false" outlineLevel="0" collapsed="false">
      <c r="A10" s="14" t="n">
        <v>6</v>
      </c>
      <c r="B10" s="15" t="s">
        <v>354</v>
      </c>
      <c r="C10" s="15" t="s">
        <v>370</v>
      </c>
      <c r="D10" s="15" t="s">
        <v>371</v>
      </c>
      <c r="E10" s="15" t="s">
        <v>13</v>
      </c>
      <c r="F10" s="15" t="s">
        <v>372</v>
      </c>
      <c r="G10" s="16" t="s">
        <v>30</v>
      </c>
      <c r="H10" s="17"/>
    </row>
    <row r="11" customFormat="false" ht="15" hidden="false" customHeight="false" outlineLevel="0" collapsed="false">
      <c r="A11" s="14" t="n">
        <v>7</v>
      </c>
      <c r="B11" s="15" t="s">
        <v>354</v>
      </c>
      <c r="C11" s="15" t="s">
        <v>373</v>
      </c>
      <c r="D11" s="15" t="s">
        <v>374</v>
      </c>
      <c r="E11" s="15" t="s">
        <v>14</v>
      </c>
      <c r="F11" s="15" t="s">
        <v>375</v>
      </c>
      <c r="G11" s="16" t="s">
        <v>30</v>
      </c>
      <c r="H11" s="17"/>
    </row>
    <row r="12" customFormat="false" ht="15" hidden="false" customHeight="false" outlineLevel="0" collapsed="false">
      <c r="A12" s="14" t="n">
        <v>8</v>
      </c>
      <c r="B12" s="15" t="s">
        <v>151</v>
      </c>
      <c r="C12" s="15" t="s">
        <v>376</v>
      </c>
      <c r="D12" s="15" t="s">
        <v>377</v>
      </c>
      <c r="E12" s="15" t="s">
        <v>12</v>
      </c>
      <c r="F12" s="15" t="s">
        <v>378</v>
      </c>
      <c r="G12" s="16" t="s">
        <v>30</v>
      </c>
      <c r="H12" s="17"/>
    </row>
    <row r="13" customFormat="false" ht="15" hidden="false" customHeight="false" outlineLevel="0" collapsed="false">
      <c r="A13" s="14" t="n">
        <v>9</v>
      </c>
      <c r="B13" s="15" t="s">
        <v>151</v>
      </c>
      <c r="C13" s="15" t="s">
        <v>379</v>
      </c>
      <c r="D13" s="15" t="s">
        <v>380</v>
      </c>
      <c r="E13" s="15" t="s">
        <v>12</v>
      </c>
      <c r="F13" s="15" t="s">
        <v>381</v>
      </c>
      <c r="G13" s="16" t="s">
        <v>30</v>
      </c>
      <c r="H13" s="17"/>
    </row>
    <row r="14" customFormat="false" ht="15" hidden="false" customHeight="false" outlineLevel="0" collapsed="false">
      <c r="A14" s="14" t="n">
        <v>10</v>
      </c>
      <c r="B14" s="15" t="s">
        <v>151</v>
      </c>
      <c r="C14" s="15" t="s">
        <v>382</v>
      </c>
      <c r="D14" s="15" t="s">
        <v>356</v>
      </c>
      <c r="E14" s="15" t="s">
        <v>12</v>
      </c>
      <c r="F14" s="15" t="s">
        <v>383</v>
      </c>
      <c r="G14" s="16" t="s">
        <v>30</v>
      </c>
      <c r="H14" s="17"/>
    </row>
    <row r="15" customFormat="false" ht="15" hidden="false" customHeight="false" outlineLevel="0" collapsed="false">
      <c r="A15" s="14" t="n">
        <v>11</v>
      </c>
      <c r="B15" s="15" t="s">
        <v>151</v>
      </c>
      <c r="C15" s="15" t="s">
        <v>384</v>
      </c>
      <c r="D15" s="15" t="s">
        <v>356</v>
      </c>
      <c r="E15" s="15" t="s">
        <v>12</v>
      </c>
      <c r="F15" s="15" t="s">
        <v>385</v>
      </c>
      <c r="G15" s="16" t="s">
        <v>30</v>
      </c>
      <c r="H15" s="17"/>
    </row>
    <row r="16" customFormat="false" ht="15" hidden="false" customHeight="false" outlineLevel="0" collapsed="false">
      <c r="A16" s="14" t="n">
        <v>12</v>
      </c>
      <c r="B16" s="15" t="s">
        <v>151</v>
      </c>
      <c r="C16" s="15" t="s">
        <v>386</v>
      </c>
      <c r="D16" s="15" t="s">
        <v>387</v>
      </c>
      <c r="E16" s="15" t="s">
        <v>12</v>
      </c>
      <c r="F16" s="15" t="s">
        <v>388</v>
      </c>
      <c r="G16" s="16" t="s">
        <v>30</v>
      </c>
      <c r="H16" s="17"/>
    </row>
    <row r="17" customFormat="false" ht="15" hidden="false" customHeight="false" outlineLevel="0" collapsed="false">
      <c r="A17" s="14" t="n">
        <v>13</v>
      </c>
      <c r="B17" s="15" t="s">
        <v>151</v>
      </c>
      <c r="C17" s="15" t="s">
        <v>389</v>
      </c>
      <c r="D17" s="15" t="s">
        <v>390</v>
      </c>
      <c r="E17" s="15" t="s">
        <v>391</v>
      </c>
      <c r="F17" s="15" t="s">
        <v>392</v>
      </c>
      <c r="G17" s="16" t="s">
        <v>30</v>
      </c>
      <c r="H17" s="17"/>
    </row>
    <row r="18" customFormat="false" ht="15" hidden="false" customHeight="false" outlineLevel="0" collapsed="false">
      <c r="A18" s="14" t="n">
        <v>14</v>
      </c>
      <c r="B18" s="15" t="s">
        <v>151</v>
      </c>
      <c r="C18" s="15" t="s">
        <v>393</v>
      </c>
      <c r="D18" s="15" t="s">
        <v>394</v>
      </c>
      <c r="E18" s="15" t="s">
        <v>14</v>
      </c>
      <c r="F18" s="15" t="s">
        <v>395</v>
      </c>
      <c r="G18" s="16" t="s">
        <v>30</v>
      </c>
      <c r="H18" s="17"/>
    </row>
    <row r="19" customFormat="false" ht="23.85" hidden="false" customHeight="false" outlineLevel="0" collapsed="false">
      <c r="A19" s="14" t="n">
        <v>15</v>
      </c>
      <c r="B19" s="15" t="s">
        <v>151</v>
      </c>
      <c r="C19" s="15" t="s">
        <v>396</v>
      </c>
      <c r="D19" s="15" t="s">
        <v>397</v>
      </c>
      <c r="E19" s="15" t="s">
        <v>14</v>
      </c>
      <c r="F19" s="15" t="s">
        <v>398</v>
      </c>
      <c r="G19" s="16" t="s">
        <v>30</v>
      </c>
      <c r="H19" s="17"/>
    </row>
    <row r="20" customFormat="false" ht="15" hidden="false" customHeight="false" outlineLevel="0" collapsed="false">
      <c r="A20" s="14" t="n">
        <v>16</v>
      </c>
      <c r="B20" s="15" t="s">
        <v>151</v>
      </c>
      <c r="C20" s="15" t="s">
        <v>399</v>
      </c>
      <c r="D20" s="15" t="s">
        <v>400</v>
      </c>
      <c r="E20" s="15" t="s">
        <v>14</v>
      </c>
      <c r="F20" s="15" t="s">
        <v>401</v>
      </c>
      <c r="G20" s="16" t="s">
        <v>30</v>
      </c>
      <c r="H20" s="17"/>
    </row>
    <row r="21" customFormat="false" ht="15" hidden="false" customHeight="false" outlineLevel="0" collapsed="false">
      <c r="A21" s="14" t="n">
        <v>17</v>
      </c>
      <c r="B21" s="15" t="s">
        <v>402</v>
      </c>
      <c r="C21" s="15" t="s">
        <v>403</v>
      </c>
      <c r="D21" s="15" t="s">
        <v>404</v>
      </c>
      <c r="E21" s="15" t="s">
        <v>12</v>
      </c>
      <c r="F21" s="15" t="s">
        <v>405</v>
      </c>
      <c r="G21" s="16" t="s">
        <v>30</v>
      </c>
      <c r="H21" s="17"/>
    </row>
    <row r="22" customFormat="false" ht="15" hidden="false" customHeight="false" outlineLevel="0" collapsed="false">
      <c r="A22" s="14" t="n">
        <v>18</v>
      </c>
      <c r="B22" s="15" t="s">
        <v>402</v>
      </c>
      <c r="C22" s="15" t="s">
        <v>406</v>
      </c>
      <c r="D22" s="15" t="s">
        <v>356</v>
      </c>
      <c r="E22" s="15" t="s">
        <v>12</v>
      </c>
      <c r="F22" s="15" t="s">
        <v>407</v>
      </c>
      <c r="G22" s="16" t="s">
        <v>30</v>
      </c>
      <c r="H22" s="17"/>
    </row>
    <row r="23" customFormat="false" ht="15" hidden="false" customHeight="false" outlineLevel="0" collapsed="false">
      <c r="A23" s="14" t="n">
        <v>19</v>
      </c>
      <c r="B23" s="15" t="s">
        <v>402</v>
      </c>
      <c r="C23" s="15" t="s">
        <v>408</v>
      </c>
      <c r="D23" s="15" t="s">
        <v>409</v>
      </c>
      <c r="E23" s="15" t="s">
        <v>391</v>
      </c>
      <c r="F23" s="15" t="s">
        <v>410</v>
      </c>
      <c r="G23" s="16" t="s">
        <v>30</v>
      </c>
      <c r="H23" s="17"/>
    </row>
    <row r="24" customFormat="false" ht="15" hidden="false" customHeight="false" outlineLevel="0" collapsed="false">
      <c r="A24" s="14" t="n">
        <v>20</v>
      </c>
      <c r="B24" s="15" t="s">
        <v>402</v>
      </c>
      <c r="C24" s="15" t="s">
        <v>411</v>
      </c>
      <c r="D24" s="15" t="s">
        <v>412</v>
      </c>
      <c r="E24" s="15" t="s">
        <v>14</v>
      </c>
      <c r="F24" s="15" t="s">
        <v>413</v>
      </c>
      <c r="G24" s="16" t="s">
        <v>30</v>
      </c>
      <c r="H24" s="17"/>
    </row>
    <row r="25" customFormat="false" ht="23.85" hidden="false" customHeight="false" outlineLevel="0" collapsed="false">
      <c r="A25" s="14" t="n">
        <v>21</v>
      </c>
      <c r="B25" s="15" t="s">
        <v>91</v>
      </c>
      <c r="C25" s="15" t="s">
        <v>414</v>
      </c>
      <c r="D25" s="15" t="s">
        <v>415</v>
      </c>
      <c r="E25" s="15" t="s">
        <v>13</v>
      </c>
      <c r="F25" s="15" t="s">
        <v>416</v>
      </c>
      <c r="G25" s="16" t="s">
        <v>30</v>
      </c>
      <c r="H25" s="17"/>
    </row>
    <row r="26" customFormat="false" ht="15" hidden="false" customHeight="false" outlineLevel="0" collapsed="false">
      <c r="A26" s="14" t="n">
        <v>22</v>
      </c>
      <c r="B26" s="15" t="s">
        <v>91</v>
      </c>
      <c r="C26" s="15" t="s">
        <v>417</v>
      </c>
      <c r="D26" s="15" t="s">
        <v>418</v>
      </c>
      <c r="E26" s="15" t="s">
        <v>13</v>
      </c>
      <c r="F26" s="15" t="s">
        <v>419</v>
      </c>
      <c r="G26" s="16" t="s">
        <v>30</v>
      </c>
      <c r="H26" s="17"/>
    </row>
    <row r="27" customFormat="false" ht="15" hidden="false" customHeight="false" outlineLevel="0" collapsed="false">
      <c r="A27" s="14" t="n">
        <v>23</v>
      </c>
      <c r="B27" s="15" t="s">
        <v>91</v>
      </c>
      <c r="C27" s="15" t="s">
        <v>420</v>
      </c>
      <c r="D27" s="15" t="s">
        <v>421</v>
      </c>
      <c r="E27" s="15" t="s">
        <v>422</v>
      </c>
      <c r="F27" s="15" t="s">
        <v>423</v>
      </c>
      <c r="G27" s="16" t="s">
        <v>30</v>
      </c>
      <c r="H27" s="17"/>
    </row>
    <row r="28" customFormat="false" ht="15" hidden="false" customHeight="false" outlineLevel="0" collapsed="false">
      <c r="A28" s="14" t="n">
        <v>24</v>
      </c>
      <c r="B28" s="15" t="s">
        <v>424</v>
      </c>
      <c r="C28" s="15" t="s">
        <v>425</v>
      </c>
      <c r="D28" s="15" t="s">
        <v>426</v>
      </c>
      <c r="E28" s="15" t="s">
        <v>13</v>
      </c>
      <c r="F28" s="15" t="s">
        <v>427</v>
      </c>
      <c r="G28" s="16" t="s">
        <v>30</v>
      </c>
      <c r="H28" s="17"/>
    </row>
    <row r="29" customFormat="false" ht="15" hidden="false" customHeight="false" outlineLevel="0" collapsed="false">
      <c r="A29" s="14" t="n">
        <v>25</v>
      </c>
      <c r="B29" s="15" t="s">
        <v>424</v>
      </c>
      <c r="C29" s="15" t="s">
        <v>428</v>
      </c>
      <c r="D29" s="15" t="s">
        <v>429</v>
      </c>
      <c r="E29" s="15" t="s">
        <v>13</v>
      </c>
      <c r="F29" s="15" t="s">
        <v>430</v>
      </c>
      <c r="G29" s="16" t="s">
        <v>30</v>
      </c>
      <c r="H29" s="17"/>
    </row>
    <row r="30" customFormat="false" ht="15" hidden="false" customHeight="false" outlineLevel="0" collapsed="false">
      <c r="A30" s="14" t="n">
        <v>26</v>
      </c>
      <c r="B30" s="15" t="s">
        <v>424</v>
      </c>
      <c r="C30" s="15" t="s">
        <v>431</v>
      </c>
      <c r="D30" s="15" t="s">
        <v>432</v>
      </c>
      <c r="E30" s="15" t="s">
        <v>13</v>
      </c>
      <c r="F30" s="15" t="s">
        <v>433</v>
      </c>
      <c r="G30" s="16" t="s">
        <v>30</v>
      </c>
      <c r="H30" s="17"/>
    </row>
    <row r="31" customFormat="false" ht="15" hidden="false" customHeight="false" outlineLevel="0" collapsed="false">
      <c r="A31" s="14" t="n">
        <v>27</v>
      </c>
      <c r="B31" s="15" t="s">
        <v>424</v>
      </c>
      <c r="C31" s="15" t="s">
        <v>434</v>
      </c>
      <c r="D31" s="15" t="s">
        <v>435</v>
      </c>
      <c r="E31" s="15" t="s">
        <v>13</v>
      </c>
      <c r="F31" s="15" t="s">
        <v>436</v>
      </c>
      <c r="G31" s="16" t="s">
        <v>30</v>
      </c>
      <c r="H31" s="17"/>
    </row>
    <row r="32" customFormat="false" ht="15" hidden="false" customHeight="false" outlineLevel="0" collapsed="false">
      <c r="A32" s="14" t="n">
        <v>28</v>
      </c>
      <c r="B32" s="15" t="s">
        <v>424</v>
      </c>
      <c r="C32" s="15" t="s">
        <v>437</v>
      </c>
      <c r="D32" s="15" t="s">
        <v>438</v>
      </c>
      <c r="E32" s="15" t="s">
        <v>13</v>
      </c>
      <c r="F32" s="15" t="s">
        <v>439</v>
      </c>
      <c r="G32" s="16" t="s">
        <v>30</v>
      </c>
      <c r="H32" s="17"/>
    </row>
    <row r="33" customFormat="false" ht="23.85" hidden="false" customHeight="false" outlineLevel="0" collapsed="false">
      <c r="A33" s="14" t="n">
        <v>29</v>
      </c>
      <c r="B33" s="15" t="s">
        <v>424</v>
      </c>
      <c r="C33" s="15" t="s">
        <v>440</v>
      </c>
      <c r="D33" s="15" t="s">
        <v>441</v>
      </c>
      <c r="E33" s="15" t="s">
        <v>13</v>
      </c>
      <c r="F33" s="15" t="s">
        <v>442</v>
      </c>
      <c r="G33" s="16" t="s">
        <v>30</v>
      </c>
      <c r="H33" s="17"/>
    </row>
    <row r="34" customFormat="false" ht="15" hidden="false" customHeight="false" outlineLevel="0" collapsed="false">
      <c r="A34" s="14" t="n">
        <v>30</v>
      </c>
      <c r="B34" s="15" t="s">
        <v>157</v>
      </c>
      <c r="C34" s="15" t="s">
        <v>443</v>
      </c>
      <c r="D34" s="15" t="s">
        <v>444</v>
      </c>
      <c r="E34" s="15" t="s">
        <v>14</v>
      </c>
      <c r="F34" s="15" t="s">
        <v>445</v>
      </c>
      <c r="G34" s="16" t="s">
        <v>30</v>
      </c>
      <c r="H34" s="17"/>
    </row>
    <row r="35" customFormat="false" ht="15" hidden="false" customHeight="false" outlineLevel="0" collapsed="false">
      <c r="A35" s="14" t="n">
        <v>31</v>
      </c>
      <c r="B35" s="15" t="s">
        <v>157</v>
      </c>
      <c r="C35" s="15" t="s">
        <v>446</v>
      </c>
      <c r="D35" s="15" t="s">
        <v>447</v>
      </c>
      <c r="E35" s="15" t="s">
        <v>14</v>
      </c>
      <c r="F35" s="15" t="s">
        <v>448</v>
      </c>
      <c r="G35" s="16" t="s">
        <v>30</v>
      </c>
      <c r="H35" s="17"/>
    </row>
    <row r="36" customFormat="false" ht="15" hidden="false" customHeight="false" outlineLevel="0" collapsed="false">
      <c r="A36" s="14" t="n">
        <v>32</v>
      </c>
      <c r="B36" s="15" t="s">
        <v>157</v>
      </c>
      <c r="C36" s="15" t="s">
        <v>449</v>
      </c>
      <c r="D36" s="15" t="s">
        <v>131</v>
      </c>
      <c r="E36" s="15" t="s">
        <v>14</v>
      </c>
      <c r="F36" s="15" t="s">
        <v>450</v>
      </c>
      <c r="G36" s="16" t="s">
        <v>30</v>
      </c>
      <c r="H36" s="17"/>
    </row>
    <row r="37" customFormat="false" ht="23.85" hidden="false" customHeight="false" outlineLevel="0" collapsed="false">
      <c r="A37" s="14" t="n">
        <v>33</v>
      </c>
      <c r="B37" s="15" t="s">
        <v>451</v>
      </c>
      <c r="C37" s="15" t="s">
        <v>452</v>
      </c>
      <c r="D37" s="15" t="s">
        <v>453</v>
      </c>
      <c r="E37" s="15" t="s">
        <v>12</v>
      </c>
      <c r="F37" s="15" t="s">
        <v>454</v>
      </c>
      <c r="G37" s="16" t="s">
        <v>30</v>
      </c>
      <c r="H37" s="17"/>
    </row>
    <row r="38" customFormat="false" ht="15" hidden="false" customHeight="false" outlineLevel="0" collapsed="false">
      <c r="A38" s="14" t="n">
        <v>34</v>
      </c>
      <c r="B38" s="15" t="s">
        <v>451</v>
      </c>
      <c r="C38" s="15" t="s">
        <v>455</v>
      </c>
      <c r="D38" s="15" t="s">
        <v>131</v>
      </c>
      <c r="E38" s="15" t="s">
        <v>14</v>
      </c>
      <c r="F38" s="15" t="s">
        <v>456</v>
      </c>
      <c r="G38" s="16" t="s">
        <v>30</v>
      </c>
      <c r="H38" s="17"/>
    </row>
    <row r="39" customFormat="false" ht="15" hidden="false" customHeight="false" outlineLevel="0" collapsed="false">
      <c r="A39" s="14" t="n">
        <v>35</v>
      </c>
      <c r="B39" s="15" t="s">
        <v>451</v>
      </c>
      <c r="C39" s="15" t="s">
        <v>457</v>
      </c>
      <c r="D39" s="15" t="s">
        <v>131</v>
      </c>
      <c r="E39" s="15" t="s">
        <v>14</v>
      </c>
      <c r="F39" s="15" t="s">
        <v>458</v>
      </c>
      <c r="G39" s="16" t="s">
        <v>30</v>
      </c>
      <c r="H39" s="17"/>
    </row>
    <row r="40" customFormat="false" ht="15" hidden="false" customHeight="false" outlineLevel="0" collapsed="false">
      <c r="A40" s="14" t="n">
        <v>36</v>
      </c>
      <c r="B40" s="15" t="s">
        <v>451</v>
      </c>
      <c r="C40" s="15" t="s">
        <v>459</v>
      </c>
      <c r="D40" s="15" t="s">
        <v>131</v>
      </c>
      <c r="E40" s="15" t="s">
        <v>14</v>
      </c>
      <c r="F40" s="15" t="s">
        <v>460</v>
      </c>
      <c r="G40" s="16" t="s">
        <v>30</v>
      </c>
      <c r="H40" s="17"/>
    </row>
    <row r="41" customFormat="false" ht="15" hidden="false" customHeight="false" outlineLevel="0" collapsed="false">
      <c r="A41" s="14" t="n">
        <v>37</v>
      </c>
      <c r="B41" s="15" t="s">
        <v>173</v>
      </c>
      <c r="C41" s="15" t="s">
        <v>461</v>
      </c>
      <c r="D41" s="15" t="s">
        <v>462</v>
      </c>
      <c r="E41" s="15" t="s">
        <v>15</v>
      </c>
      <c r="F41" s="15" t="s">
        <v>463</v>
      </c>
      <c r="G41" s="16" t="s">
        <v>30</v>
      </c>
      <c r="H41" s="17"/>
    </row>
    <row r="42" customFormat="false" ht="15" hidden="false" customHeight="false" outlineLevel="0" collapsed="false">
      <c r="A42" s="14" t="n">
        <v>38</v>
      </c>
      <c r="B42" s="15" t="s">
        <v>173</v>
      </c>
      <c r="C42" s="15" t="s">
        <v>464</v>
      </c>
      <c r="D42" s="15" t="s">
        <v>465</v>
      </c>
      <c r="E42" s="15" t="s">
        <v>15</v>
      </c>
      <c r="F42" s="15" t="s">
        <v>466</v>
      </c>
      <c r="G42" s="16" t="s">
        <v>30</v>
      </c>
      <c r="H42" s="17"/>
    </row>
    <row r="43" customFormat="false" ht="15" hidden="false" customHeight="false" outlineLevel="0" collapsed="false">
      <c r="A43" s="14" t="n">
        <v>39</v>
      </c>
      <c r="B43" s="15" t="s">
        <v>173</v>
      </c>
      <c r="C43" s="15" t="s">
        <v>467</v>
      </c>
      <c r="D43" s="15" t="s">
        <v>468</v>
      </c>
      <c r="E43" s="15" t="s">
        <v>15</v>
      </c>
      <c r="F43" s="15" t="s">
        <v>469</v>
      </c>
      <c r="G43" s="16" t="s">
        <v>30</v>
      </c>
      <c r="H43" s="17"/>
    </row>
    <row r="44" customFormat="false" ht="15" hidden="false" customHeight="false" outlineLevel="0" collapsed="false">
      <c r="A44" s="14" t="n">
        <v>40</v>
      </c>
      <c r="B44" s="15" t="s">
        <v>162</v>
      </c>
      <c r="C44" s="15" t="s">
        <v>470</v>
      </c>
      <c r="D44" s="15" t="s">
        <v>471</v>
      </c>
      <c r="E44" s="15" t="s">
        <v>15</v>
      </c>
      <c r="F44" s="15" t="s">
        <v>472</v>
      </c>
      <c r="G44" s="16" t="s">
        <v>30</v>
      </c>
      <c r="H44" s="17"/>
    </row>
    <row r="45" customFormat="false" ht="15" hidden="false" customHeight="false" outlineLevel="0" collapsed="false">
      <c r="A45" s="14" t="n">
        <v>41</v>
      </c>
      <c r="B45" s="15" t="s">
        <v>162</v>
      </c>
      <c r="C45" s="15" t="s">
        <v>473</v>
      </c>
      <c r="D45" s="15" t="s">
        <v>474</v>
      </c>
      <c r="E45" s="15" t="s">
        <v>15</v>
      </c>
      <c r="F45" s="15" t="s">
        <v>475</v>
      </c>
      <c r="G45" s="16" t="s">
        <v>30</v>
      </c>
      <c r="H45" s="17"/>
    </row>
    <row r="46" customFormat="false" ht="15" hidden="false" customHeight="false" outlineLevel="0" collapsed="false">
      <c r="A46" s="14" t="n">
        <v>42</v>
      </c>
      <c r="B46" s="15" t="s">
        <v>476</v>
      </c>
      <c r="C46" s="15" t="s">
        <v>477</v>
      </c>
      <c r="D46" s="15" t="s">
        <v>478</v>
      </c>
      <c r="E46" s="15" t="s">
        <v>479</v>
      </c>
      <c r="F46" s="15" t="s">
        <v>480</v>
      </c>
      <c r="G46" s="16" t="s">
        <v>30</v>
      </c>
      <c r="H46" s="17"/>
    </row>
    <row r="47" customFormat="false" ht="15" hidden="false" customHeight="false" outlineLevel="0" collapsed="false">
      <c r="A47" s="14" t="n">
        <v>43</v>
      </c>
      <c r="B47" s="15" t="s">
        <v>476</v>
      </c>
      <c r="C47" s="15" t="s">
        <v>315</v>
      </c>
      <c r="D47" s="15" t="s">
        <v>481</v>
      </c>
      <c r="E47" s="15" t="s">
        <v>16</v>
      </c>
      <c r="F47" s="15" t="s">
        <v>482</v>
      </c>
      <c r="G47" s="16" t="s">
        <v>30</v>
      </c>
      <c r="H47" s="17"/>
    </row>
    <row r="48" customFormat="false" ht="15" hidden="false" customHeight="false" outlineLevel="0" collapsed="false">
      <c r="A48" s="14" t="n">
        <v>44</v>
      </c>
      <c r="B48" s="15" t="s">
        <v>476</v>
      </c>
      <c r="C48" s="15" t="s">
        <v>483</v>
      </c>
      <c r="D48" s="15" t="s">
        <v>484</v>
      </c>
      <c r="E48" s="15" t="s">
        <v>16</v>
      </c>
      <c r="F48" s="15" t="s">
        <v>485</v>
      </c>
      <c r="G48" s="16" t="s">
        <v>30</v>
      </c>
      <c r="H48" s="17"/>
    </row>
    <row r="49" customFormat="false" ht="15" hidden="false" customHeight="false" outlineLevel="0" collapsed="false">
      <c r="A49" s="14" t="n">
        <v>45</v>
      </c>
      <c r="B49" s="15" t="s">
        <v>476</v>
      </c>
      <c r="C49" s="15" t="s">
        <v>486</v>
      </c>
      <c r="D49" s="15" t="s">
        <v>487</v>
      </c>
      <c r="E49" s="15" t="s">
        <v>15</v>
      </c>
      <c r="F49" s="15" t="s">
        <v>488</v>
      </c>
      <c r="G49" s="16" t="s">
        <v>30</v>
      </c>
      <c r="H49" s="17"/>
    </row>
    <row r="50" customFormat="false" ht="15" hidden="false" customHeight="false" outlineLevel="0" collapsed="false">
      <c r="A50" s="14" t="n">
        <v>46</v>
      </c>
      <c r="B50" s="15" t="s">
        <v>476</v>
      </c>
      <c r="C50" s="15" t="s">
        <v>489</v>
      </c>
      <c r="D50" s="15" t="s">
        <v>421</v>
      </c>
      <c r="E50" s="15" t="s">
        <v>16</v>
      </c>
      <c r="F50" s="15" t="s">
        <v>490</v>
      </c>
      <c r="G50" s="16" t="s">
        <v>30</v>
      </c>
      <c r="H50" s="17"/>
    </row>
  </sheetData>
  <conditionalFormatting sqref="G5:G50">
    <cfRule type="cellIs" priority="2" operator="equal" aboveAverage="0" equalAverage="0" bottom="0" percent="0" rank="0" text="" dxfId="0">
      <formula>"Yes"</formula>
    </cfRule>
  </conditionalFormatting>
  <dataValidations count="1">
    <dataValidation allowBlank="false" errorStyle="stop" operator="between" showDropDown="false" showErrorMessage="false" showInputMessage="false" sqref="G5:G50"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80"/>
    <col collapsed="false" customWidth="true" hidden="false" outlineLevel="0" max="4" min="4" style="0" width="10"/>
    <col collapsed="false" customWidth="true" hidden="false" outlineLevel="0" max="5" min="5" style="0" width="30"/>
  </cols>
  <sheetData>
    <row r="1" customFormat="false" ht="17.35" hidden="false" customHeight="false" outlineLevel="0" collapsed="false">
      <c r="A1" s="1" t="s">
        <v>491</v>
      </c>
    </row>
    <row r="2" customFormat="false" ht="15" hidden="false" customHeight="false" outlineLevel="0" collapsed="false">
      <c r="A2" s="2" t="s">
        <v>492</v>
      </c>
    </row>
    <row r="4" customFormat="false" ht="31.5" hidden="false" customHeight="true" outlineLevel="0" collapsed="false">
      <c r="A4" s="3" t="s">
        <v>23</v>
      </c>
      <c r="B4" s="3" t="s">
        <v>348</v>
      </c>
      <c r="C4" s="3" t="s">
        <v>493</v>
      </c>
      <c r="D4" s="3" t="s">
        <v>26</v>
      </c>
      <c r="E4" s="3" t="s">
        <v>27</v>
      </c>
    </row>
    <row r="5" customFormat="false" ht="15" hidden="false" customHeight="false" outlineLevel="0" collapsed="false">
      <c r="A5" s="14" t="n">
        <v>1</v>
      </c>
      <c r="B5" s="15" t="s">
        <v>494</v>
      </c>
      <c r="C5" s="15" t="s">
        <v>495</v>
      </c>
      <c r="D5" s="16" t="s">
        <v>30</v>
      </c>
      <c r="E5" s="17"/>
    </row>
    <row r="6" customFormat="false" ht="15" hidden="false" customHeight="false" outlineLevel="0" collapsed="false">
      <c r="A6" s="14" t="n">
        <v>2</v>
      </c>
      <c r="B6" s="15" t="s">
        <v>494</v>
      </c>
      <c r="C6" s="15" t="s">
        <v>496</v>
      </c>
      <c r="D6" s="16" t="s">
        <v>30</v>
      </c>
      <c r="E6" s="17"/>
    </row>
    <row r="7" customFormat="false" ht="15" hidden="false" customHeight="false" outlineLevel="0" collapsed="false">
      <c r="A7" s="14" t="n">
        <v>3</v>
      </c>
      <c r="B7" s="15" t="s">
        <v>494</v>
      </c>
      <c r="C7" s="15" t="s">
        <v>497</v>
      </c>
      <c r="D7" s="16" t="s">
        <v>30</v>
      </c>
      <c r="E7" s="17"/>
    </row>
    <row r="8" customFormat="false" ht="15" hidden="false" customHeight="false" outlineLevel="0" collapsed="false">
      <c r="A8" s="14" t="n">
        <v>4</v>
      </c>
      <c r="B8" s="15" t="s">
        <v>494</v>
      </c>
      <c r="C8" s="15" t="s">
        <v>498</v>
      </c>
      <c r="D8" s="16" t="s">
        <v>30</v>
      </c>
      <c r="E8" s="17"/>
    </row>
    <row r="9" customFormat="false" ht="15" hidden="false" customHeight="false" outlineLevel="0" collapsed="false">
      <c r="A9" s="14" t="n">
        <v>5</v>
      </c>
      <c r="B9" s="15" t="s">
        <v>368</v>
      </c>
      <c r="C9" s="15" t="s">
        <v>499</v>
      </c>
      <c r="D9" s="16" t="s">
        <v>30</v>
      </c>
      <c r="E9" s="17"/>
    </row>
    <row r="10" customFormat="false" ht="15" hidden="false" customHeight="false" outlineLevel="0" collapsed="false">
      <c r="A10" s="14" t="n">
        <v>6</v>
      </c>
      <c r="B10" s="15" t="s">
        <v>368</v>
      </c>
      <c r="C10" s="15" t="s">
        <v>500</v>
      </c>
      <c r="D10" s="16" t="s">
        <v>30</v>
      </c>
      <c r="E10" s="17"/>
    </row>
    <row r="11" customFormat="false" ht="15" hidden="false" customHeight="false" outlineLevel="0" collapsed="false">
      <c r="A11" s="14" t="n">
        <v>7</v>
      </c>
      <c r="B11" s="15" t="s">
        <v>368</v>
      </c>
      <c r="C11" s="15" t="s">
        <v>501</v>
      </c>
      <c r="D11" s="16" t="s">
        <v>30</v>
      </c>
      <c r="E11" s="17"/>
    </row>
    <row r="12" customFormat="false" ht="15" hidden="false" customHeight="false" outlineLevel="0" collapsed="false">
      <c r="A12" s="14" t="n">
        <v>8</v>
      </c>
      <c r="B12" s="15" t="s">
        <v>368</v>
      </c>
      <c r="C12" s="15" t="s">
        <v>502</v>
      </c>
      <c r="D12" s="16" t="s">
        <v>30</v>
      </c>
      <c r="E12" s="17"/>
    </row>
    <row r="13" customFormat="false" ht="15" hidden="false" customHeight="false" outlineLevel="0" collapsed="false">
      <c r="A13" s="14" t="n">
        <v>9</v>
      </c>
      <c r="B13" s="15" t="s">
        <v>91</v>
      </c>
      <c r="C13" s="15" t="s">
        <v>503</v>
      </c>
      <c r="D13" s="16" t="s">
        <v>30</v>
      </c>
      <c r="E13" s="17"/>
    </row>
    <row r="14" customFormat="false" ht="15" hidden="false" customHeight="false" outlineLevel="0" collapsed="false">
      <c r="A14" s="14" t="n">
        <v>10</v>
      </c>
      <c r="B14" s="15" t="s">
        <v>91</v>
      </c>
      <c r="C14" s="15" t="s">
        <v>120</v>
      </c>
      <c r="D14" s="16" t="s">
        <v>30</v>
      </c>
      <c r="E14" s="17"/>
    </row>
    <row r="15" customFormat="false" ht="15" hidden="false" customHeight="false" outlineLevel="0" collapsed="false">
      <c r="A15" s="14" t="n">
        <v>11</v>
      </c>
      <c r="B15" s="15" t="s">
        <v>91</v>
      </c>
      <c r="C15" s="15" t="s">
        <v>504</v>
      </c>
      <c r="D15" s="16" t="s">
        <v>30</v>
      </c>
      <c r="E15" s="17"/>
    </row>
    <row r="16" customFormat="false" ht="15" hidden="false" customHeight="false" outlineLevel="0" collapsed="false">
      <c r="A16" s="14" t="n">
        <v>12</v>
      </c>
      <c r="B16" s="15" t="s">
        <v>91</v>
      </c>
      <c r="C16" s="15" t="s">
        <v>505</v>
      </c>
      <c r="D16" s="16" t="s">
        <v>30</v>
      </c>
      <c r="E16" s="17"/>
    </row>
    <row r="17" customFormat="false" ht="15" hidden="false" customHeight="false" outlineLevel="0" collapsed="false">
      <c r="A17" s="14" t="n">
        <v>13</v>
      </c>
      <c r="B17" s="15" t="s">
        <v>146</v>
      </c>
      <c r="C17" s="15" t="s">
        <v>506</v>
      </c>
      <c r="D17" s="16" t="s">
        <v>30</v>
      </c>
      <c r="E17" s="17"/>
    </row>
    <row r="18" customFormat="false" ht="15" hidden="false" customHeight="false" outlineLevel="0" collapsed="false">
      <c r="A18" s="14" t="n">
        <v>14</v>
      </c>
      <c r="B18" s="15" t="s">
        <v>157</v>
      </c>
      <c r="C18" s="15" t="s">
        <v>507</v>
      </c>
      <c r="D18" s="16" t="s">
        <v>30</v>
      </c>
      <c r="E18" s="17"/>
    </row>
    <row r="19" customFormat="false" ht="15" hidden="false" customHeight="false" outlineLevel="0" collapsed="false">
      <c r="A19" s="14" t="n">
        <v>15</v>
      </c>
      <c r="B19" s="15" t="s">
        <v>173</v>
      </c>
      <c r="C19" s="15" t="s">
        <v>508</v>
      </c>
      <c r="D19" s="16" t="s">
        <v>30</v>
      </c>
      <c r="E19" s="17"/>
    </row>
    <row r="20" customFormat="false" ht="15" hidden="false" customHeight="false" outlineLevel="0" collapsed="false">
      <c r="A20" s="14" t="n">
        <v>16</v>
      </c>
      <c r="B20" s="15" t="s">
        <v>173</v>
      </c>
      <c r="C20" s="15" t="s">
        <v>509</v>
      </c>
      <c r="D20" s="16" t="s">
        <v>30</v>
      </c>
      <c r="E20" s="17"/>
    </row>
    <row r="21" customFormat="false" ht="15" hidden="false" customHeight="false" outlineLevel="0" collapsed="false">
      <c r="A21" s="14" t="n">
        <v>17</v>
      </c>
      <c r="B21" s="15" t="s">
        <v>162</v>
      </c>
      <c r="C21" s="15" t="s">
        <v>510</v>
      </c>
      <c r="D21" s="16" t="s">
        <v>30</v>
      </c>
      <c r="E21" s="17"/>
    </row>
    <row r="22" customFormat="false" ht="15" hidden="false" customHeight="false" outlineLevel="0" collapsed="false">
      <c r="A22" s="14" t="n">
        <v>18</v>
      </c>
      <c r="B22" s="15" t="s">
        <v>162</v>
      </c>
      <c r="C22" s="15" t="s">
        <v>511</v>
      </c>
      <c r="D22" s="16" t="s">
        <v>30</v>
      </c>
      <c r="E22" s="17"/>
    </row>
    <row r="23" customFormat="false" ht="15" hidden="false" customHeight="false" outlineLevel="0" collapsed="false">
      <c r="A23" s="14" t="n">
        <v>19</v>
      </c>
      <c r="B23" s="15" t="s">
        <v>194</v>
      </c>
      <c r="C23" s="15" t="s">
        <v>512</v>
      </c>
      <c r="D23" s="16" t="s">
        <v>30</v>
      </c>
      <c r="E23" s="17"/>
    </row>
    <row r="24" customFormat="false" ht="15" hidden="false" customHeight="false" outlineLevel="0" collapsed="false">
      <c r="A24" s="14" t="n">
        <v>20</v>
      </c>
      <c r="B24" s="15" t="s">
        <v>194</v>
      </c>
      <c r="C24" s="15" t="s">
        <v>513</v>
      </c>
      <c r="D24" s="16" t="s">
        <v>30</v>
      </c>
      <c r="E24" s="17"/>
    </row>
    <row r="25" customFormat="false" ht="15" hidden="false" customHeight="false" outlineLevel="0" collapsed="false">
      <c r="A25" s="14" t="n">
        <v>21</v>
      </c>
      <c r="B25" s="15" t="s">
        <v>514</v>
      </c>
      <c r="C25" s="15" t="s">
        <v>515</v>
      </c>
      <c r="D25" s="16" t="s">
        <v>30</v>
      </c>
      <c r="E25" s="17"/>
    </row>
    <row r="26" customFormat="false" ht="15" hidden="false" customHeight="false" outlineLevel="0" collapsed="false">
      <c r="A26" s="14" t="n">
        <v>22</v>
      </c>
      <c r="B26" s="15" t="s">
        <v>514</v>
      </c>
      <c r="C26" s="15" t="s">
        <v>516</v>
      </c>
      <c r="D26" s="16" t="s">
        <v>30</v>
      </c>
      <c r="E26" s="17"/>
    </row>
    <row r="27" customFormat="false" ht="15" hidden="false" customHeight="false" outlineLevel="0" collapsed="false">
      <c r="A27" s="14" t="n">
        <v>23</v>
      </c>
      <c r="B27" s="15" t="s">
        <v>514</v>
      </c>
      <c r="C27" s="15" t="s">
        <v>517</v>
      </c>
      <c r="D27" s="16" t="s">
        <v>30</v>
      </c>
      <c r="E27" s="17"/>
    </row>
    <row r="28" customFormat="false" ht="15" hidden="false" customHeight="false" outlineLevel="0" collapsed="false">
      <c r="A28" s="14" t="n">
        <v>24</v>
      </c>
      <c r="B28" s="15" t="s">
        <v>514</v>
      </c>
      <c r="C28" s="15" t="s">
        <v>518</v>
      </c>
      <c r="D28" s="16" t="s">
        <v>30</v>
      </c>
      <c r="E28" s="17"/>
    </row>
    <row r="29" customFormat="false" ht="15" hidden="false" customHeight="false" outlineLevel="0" collapsed="false">
      <c r="A29" s="14" t="n">
        <v>25</v>
      </c>
      <c r="B29" s="15" t="s">
        <v>212</v>
      </c>
      <c r="C29" s="15" t="s">
        <v>519</v>
      </c>
      <c r="D29" s="16" t="s">
        <v>30</v>
      </c>
      <c r="E29" s="17"/>
    </row>
  </sheetData>
  <conditionalFormatting sqref="D5:D29">
    <cfRule type="cellIs" priority="2" operator="equal" aboveAverage="0" equalAverage="0" bottom="0" percent="0" rank="0" text="" dxfId="0">
      <formula>"Yes"</formula>
    </cfRule>
  </conditionalFormatting>
  <dataValidations count="1">
    <dataValidation allowBlank="false" errorStyle="stop" operator="between" showDropDown="false" showErrorMessage="false" showInputMessage="false" sqref="D5:D2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2026-10-08T13:50:55Z</dcterms:created>
  <dc:creator>openpyxl</dc:creator>
  <dc:description/>
  <dc:language>en-US</dc:language>
  <cp:lastModifiedBy/>
  <dcterms:modified xsi:type="dcterms:W3CDTF">2026-10-08T13:50:55Z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